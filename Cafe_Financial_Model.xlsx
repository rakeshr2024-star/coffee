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Dashboard" sheetId="2" r:id="rId2"/>
    <sheet name="Inputs" sheetId="3" r:id="rId3"/>
    <sheet name="Locations" sheetId="4" r:id="rId4"/>
    <sheet name="Sourcing" sheetId="5" r:id="rId5"/>
    <sheet name="Capex" sheetId="6" r:id="rId6"/>
    <sheet name="Model" sheetId="7" r:id="rId7"/>
    <sheet name="DCF" sheetId="8" r:id="rId8"/>
    <sheet name="Scenarios" sheetId="9" r:id="rId9"/>
    <sheet name="Configs" sheetId="10" r:id="rId10"/>
    <sheet name="Sources" sheetId="11" r:id="rId11"/>
  </sheets>
  <definedNames>
    <definedName name="CfgLoc">Configs!$D$6:$D$25</definedName>
    <definedName name="CfgMix">Configs!$G$6:$G$25</definedName>
    <definedName name="CfgName">Configs!$C$6:$C$25</definedName>
    <definedName name="CfgProp">Configs!$E$6:$E$25</definedName>
    <definedName name="CfgRoast">Configs!$F$6:$F$25</definedName>
    <definedName name="Circ">Cover!$D$29</definedName>
    <definedName name="Lakh">Inputs!$D$27</definedName>
    <definedName name="LocList">Locations!$D$5:$G$5</definedName>
    <definedName name="MixCheck">Sourcing!$F$20:$I$20</definedName>
    <definedName name="MixList">Sourcing!$F$14:$I$14</definedName>
    <definedName name="PropList">Inputs!$F$167:$H$167</definedName>
    <definedName name="RoastList">Sourcing!$F$41:$H$41</definedName>
    <definedName name="ScnList">Inputs!$F$168:$I$168</definedName>
    <definedName name="TaxRate">Inputs!$D$28</definedName>
  </definedNames>
  <calcPr calcId="124519" fullCalcOnLoad="1" iterate="1" iterateCount="100" iterateDelta="0.0001"/>
</workbook>
</file>

<file path=xl/sharedStrings.xml><?xml version="1.0" encoding="utf-8"?>
<sst xmlns="http://schemas.openxmlformats.org/spreadsheetml/2006/main" count="1810" uniqueCount="953">
  <si>
    <t>Specialty Café, Ahmedabad: 3-Statement &amp; FCFF DCF Model</t>
  </si>
  <si>
    <t>Location × premises (rent/own) × roasting × bean-mix decision model. Prepared October 2026. All figures in ₹ lakh unless stated (1 lakh = ₹1,00,000).</t>
  </si>
  <si>
    <t>Contents</t>
  </si>
  <si>
    <t>Dashboard</t>
  </si>
  <si>
    <t>Key outputs, charts, scenario and premises comparison</t>
  </si>
  <si>
    <t>Inputs</t>
  </si>
  <si>
    <t>Configuration switches, Best/Base/Worst drivers, all operating assumptions</t>
  </si>
  <si>
    <t>Locations</t>
  </si>
  <si>
    <t>Library of four Ahmedabad sites: rent, area, footfall, ticket, capex</t>
  </si>
  <si>
    <t>Sourcing</t>
  </si>
  <si>
    <t>Green-coffee prices, bean mixes, cost per kg by roasting route</t>
  </si>
  <si>
    <t>Capex</t>
  </si>
  <si>
    <t>Equipment &amp; fit-out list, property purchase, sources &amp; uses of funds</t>
  </si>
  <si>
    <t>Model</t>
  </si>
  <si>
    <t>Income statement, cash flow, balance sheet and supporting schedules</t>
  </si>
  <si>
    <t>DCF</t>
  </si>
  <si>
    <t>FCFF, WACC, terminal value, NPV, IRR, equity IRR, payback</t>
  </si>
  <si>
    <t>Scenarios</t>
  </si>
  <si>
    <t>Override panel and live data tables (scenarios, sensitivities, tornado)</t>
  </si>
  <si>
    <t>Configs</t>
  </si>
  <si>
    <t>19 pre-defined configurations compared side by side (editable)</t>
  </si>
  <si>
    <t>Sources</t>
  </si>
  <si>
    <t>Where the assumptions come from</t>
  </si>
  <si>
    <t>Model checks</t>
  </si>
  <si>
    <t>Balance sheet balances (all years)</t>
  </si>
  <si>
    <t>Cash never negative</t>
  </si>
  <si>
    <t>Sources of funds = uses of funds</t>
  </si>
  <si>
    <t>Every bean mix adds up to 100%</t>
  </si>
  <si>
    <t>Revenue mix shares between 0% and 100%</t>
  </si>
  <si>
    <t>WACC above terminal growth</t>
  </si>
  <si>
    <t>Seating capacity does not cap demand</t>
  </si>
  <si>
    <t>Scenarios-sheet overrides switched off</t>
  </si>
  <si>
    <t>Overall model status</t>
  </si>
  <si>
    <t>Switches</t>
  </si>
  <si>
    <t>Circularity switch (1 = interest on average balances)</t>
  </si>
  <si>
    <t>0 = interest on opening balances (no circular reference). 1 needs iterative calculation (enabled in this file).</t>
  </si>
  <si>
    <t>Conventions</t>
  </si>
  <si>
    <t>Blue on cream</t>
  </si>
  <si>
    <t>Hard-coded input: change these</t>
  </si>
  <si>
    <t>Black</t>
  </si>
  <si>
    <t>Formula on the same sheet</t>
  </si>
  <si>
    <t>Green</t>
  </si>
  <si>
    <t>Formula linking to another sheet</t>
  </si>
  <si>
    <t>Units</t>
  </si>
  <si>
    <t>₹ lakh unless the Units column says otherwise; rupee inputs are in ₹</t>
  </si>
  <si>
    <t>Timeline</t>
  </si>
  <si>
    <t>Y0 = FY27 (fit-out, pre-opening; ends 31 Mar 2027). Y1-Y10 = FY28-FY37. Annual periods, fiscal year to 31 March</t>
  </si>
  <si>
    <t>Signs</t>
  </si>
  <si>
    <t>Income statement costs and cash outflows are shown as negatives</t>
  </si>
  <si>
    <t>Tax</t>
  </si>
  <si>
    <t>Corporate tax under s.115BAA, 25.168% incl. surcharge &amp; cess; WDV tax depreciation; losses carried forward</t>
  </si>
  <si>
    <t>Leases</t>
  </si>
  <si>
    <t>Rent is an operating expense (Indian GAAP / AS for an unlisted SME, no Ind AS 116 right-of-use asset)</t>
  </si>
  <si>
    <t>How to use</t>
  </si>
  <si>
    <t>1. Inputs sheet, section 1: pick Location, Premises (Rent / Own), Roasting route, Bean mix and Scenario from the drop-downs.</t>
  </si>
  <si>
    <t>2. Read the result on the Dashboard; every statement and schedule is on the Model and DCF sheets.</t>
  </si>
  <si>
    <t>3. Change any blue cell (Inputs, Locations, Sourcing, Capex, Configs) to test your own numbers.</t>
  </si>
  <si>
    <t>4. Scenarios sheet: live data tables re-run the whole model for every scenario, configuration and sensitivity. Leave its override cells at their defaults.</t>
  </si>
  <si>
    <t>5. Configs sheet: edit or add combinations; their results update automatically.</t>
  </si>
  <si>
    <t>6. If Excel is set to 'Automatic except data tables', press F9 to refresh the tables.</t>
  </si>
  <si>
    <t>Inputs &amp; Drivers</t>
  </si>
  <si>
    <t>Blue cells are inputs. Rupee inputs in ₹ (not lakh). Driver rows marked Live are picked by the Scenario switch.</t>
  </si>
  <si>
    <t>₹ lakh unless stated</t>
  </si>
  <si>
    <t>Value</t>
  </si>
  <si>
    <t>Period (Y0 = pre-opening fit-out year)</t>
  </si>
  <si>
    <t>1. Configuration: choose what to model</t>
  </si>
  <si>
    <t>Location</t>
  </si>
  <si>
    <t>list</t>
  </si>
  <si>
    <t>Prahladnagar</t>
  </si>
  <si>
    <t>Prahladnagar (base case), Sindhu Bhavan Road, GIFT City, Sanand: see Locations</t>
  </si>
  <si>
    <t>Premises</t>
  </si>
  <si>
    <t>Rent</t>
  </si>
  <si>
    <t>Rent a unit, or buy it (60% funded by a loan against property)</t>
  </si>
  <si>
    <t>Coffee roasting route</t>
  </si>
  <si>
    <t>Toll roasting</t>
  </si>
  <si>
    <t>Buy roasted beans / toll-roast your own green coffee / own 3 kg roaster</t>
  </si>
  <si>
    <t>Bean mix</t>
  </si>
  <si>
    <t>Specialty</t>
  </si>
  <si>
    <t>Value / Specialty / Premium / Custom blends: see Sourcing</t>
  </si>
  <si>
    <t>Scenario</t>
  </si>
  <si>
    <t>Base</t>
  </si>
  <si>
    <t>Best / Base / Worst drivers below</t>
  </si>
  <si>
    <t>Active configuration (after any Scenarios-sheet overrides)</t>
  </si>
  <si>
    <t>Location (index)</t>
  </si>
  <si>
    <t>#</t>
  </si>
  <si>
    <t>Premises (index)</t>
  </si>
  <si>
    <t>Roasting route (index)</t>
  </si>
  <si>
    <t>Bean mix (index)</t>
  </si>
  <si>
    <t>Scenario (index)</t>
  </si>
  <si>
    <t>Owned premises flag</t>
  </si>
  <si>
    <t>1/0</t>
  </si>
  <si>
    <t>In-house roastery flag</t>
  </si>
  <si>
    <t>Own-label beans flag (toll or in-house)</t>
  </si>
  <si>
    <t>Configuration label</t>
  </si>
  <si>
    <t>text</t>
  </si>
  <si>
    <t>2. General</t>
  </si>
  <si>
    <t>Year 0 (fit-out year) ends 31 March</t>
  </si>
  <si>
    <t>FY</t>
  </si>
  <si>
    <t>Y0 = FY2026-27: lease/purchase, fit-out, hiring. Café opens 1 April 2027 (Y1)</t>
  </si>
  <si>
    <t>Rupees per lakh</t>
  </si>
  <si>
    <t>₹</t>
  </si>
  <si>
    <t>Corporate tax rate (s.115BAA)</t>
  </si>
  <si>
    <t>%</t>
  </si>
  <si>
    <t>22% + 10% surcharge + 4% cess = 25.168%; no MAT under 115BAA</t>
  </si>
  <si>
    <t>3. Scenario drivers: Best / Base / Worst (Live row = selected scenario)</t>
  </si>
  <si>
    <t>Ramp-up (% of steady-state bills)</t>
  </si>
  <si>
    <t>Best</t>
  </si>
  <si>
    <t>Worst</t>
  </si>
  <si>
    <t>Live</t>
  </si>
  <si>
    <t>Menu price increase</t>
  </si>
  <si>
    <t>% p.a.</t>
  </si>
  <si>
    <t>Volume growth after ramp (Y4+)</t>
  </si>
  <si>
    <t>Green-coffee price index (Oct 2026 = 1.00)</t>
  </si>
  <si>
    <t>x</t>
  </si>
  <si>
    <t>Wholesale ramp-up (in-house roastery only)</t>
  </si>
  <si>
    <t>Share of mature wholesale volume</t>
  </si>
  <si>
    <t>Single-value drivers</t>
  </si>
  <si>
    <t>Footfall factor on steady-state bills</t>
  </si>
  <si>
    <t>Capex overrun</t>
  </si>
  <si>
    <t>Wholesale beans at maturity (in-house only)</t>
  </si>
  <si>
    <t>kg/mth</t>
  </si>
  <si>
    <t>4. Revenue, menu &amp; capacity</t>
  </si>
  <si>
    <t>Beverages share of café revenue</t>
  </si>
  <si>
    <t>Retail beans share (bought-in bags)</t>
  </si>
  <si>
    <t>Extra retail share with own-label beans</t>
  </si>
  <si>
    <t>Applies to toll and in-house routes</t>
  </si>
  <si>
    <t>Average beverage price (FY28)</t>
  </si>
  <si>
    <t>Used only to convert beverage sales into cups</t>
  </si>
  <si>
    <t>Beverages that contain coffee</t>
  </si>
  <si>
    <t>Coffee per coffee beverage</t>
  </si>
  <si>
    <t>g</t>
  </si>
  <si>
    <t>Double shot 18 g; filter 15-18 g</t>
  </si>
  <si>
    <t>Milk, syrups, sugar &amp; garnish per beverage</t>
  </si>
  <si>
    <t>Takeaway share of bills (needs packaging)</t>
  </si>
  <si>
    <t>Packaging per takeaway/delivery bill</t>
  </si>
  <si>
    <t>Food cost as % of food sales</t>
  </si>
  <si>
    <t>Gross margin on bought-in retail bags</t>
  </si>
  <si>
    <t>Wholesale selling &amp; delivery cost</t>
  </si>
  <si>
    <t>% of sales</t>
  </si>
  <si>
    <t>Wholesale volume growth after Y3</t>
  </si>
  <si>
    <t>Food, packaging &amp; supplies inflation</t>
  </si>
  <si>
    <t>Maximum seat turns per day (capacity cap)</t>
  </si>
  <si>
    <t>Dine-in bills per seat per day at full capacity</t>
  </si>
  <si>
    <t>Derived (do not edit)</t>
  </si>
  <si>
    <t>Retail beans share, active route</t>
  </si>
  <si>
    <t>Food share of café revenue</t>
  </si>
  <si>
    <t>Beverages per bill</t>
  </si>
  <si>
    <t>5. People</t>
  </si>
  <si>
    <t>Role</t>
  </si>
  <si>
    <t>Headcount</t>
  </si>
  <si>
    <t>Monthly salary ₹</t>
  </si>
  <si>
    <t>Roastery only</t>
  </si>
  <si>
    <t>Monthly ₹</t>
  </si>
  <si>
    <t>Café manager</t>
  </si>
  <si>
    <t>Head barista</t>
  </si>
  <si>
    <t>Baristas</t>
  </si>
  <si>
    <t>Kitchen lead</t>
  </si>
  <si>
    <t>Kitchen assistants</t>
  </si>
  <si>
    <t>Service staff</t>
  </si>
  <si>
    <t>Housekeeping &amp; dishwash</t>
  </si>
  <si>
    <t>Roaster &amp; wholesale (in-house only)</t>
  </si>
  <si>
    <t>Café roster, monthly</t>
  </si>
  <si>
    <t>Roastery roster, monthly</t>
  </si>
  <si>
    <t>PF, ESI, bonus, meals &amp; uniforms</t>
  </si>
  <si>
    <t>% of salary</t>
  </si>
  <si>
    <t>Annual wage increase</t>
  </si>
  <si>
    <t>Gujarat minimum wage ₹13,325-13,897/month from April 2026</t>
  </si>
  <si>
    <t>Extra staff per 1% bills above steady state</t>
  </si>
  <si>
    <t>Active monthly payroll (location staffing factor applied)</t>
  </si>
  <si>
    <t>6. Operating costs</t>
  </si>
  <si>
    <t>Electricity use</t>
  </si>
  <si>
    <t>kWh/sqft/mth</t>
  </si>
  <si>
    <t>Electricity tariff, all-in (FY28)</t>
  </si>
  <si>
    <t>₹/kWh</t>
  </si>
  <si>
    <t>Torrent Power non-RGP: 455 paise/unit energy + fixed + FPPPA + duty</t>
  </si>
  <si>
    <t>Tariff increase</t>
  </si>
  <si>
    <t>LPG/PNG, water &amp; cleaning supplies</t>
  </si>
  <si>
    <t>₹/mth</t>
  </si>
  <si>
    <t>Marketing, launch year</t>
  </si>
  <si>
    <t>% of revenue</t>
  </si>
  <si>
    <t>Marketing, later years</t>
  </si>
  <si>
    <t>Repairs &amp; maintenance</t>
  </si>
  <si>
    <t>Equipment AMC (espresso, grinders, RO)</t>
  </si>
  <si>
    <t>₹/yr</t>
  </si>
  <si>
    <t>Roaster AMC &amp; afterburner service</t>
  </si>
  <si>
    <t>Aggregator commission incl. GST &amp; fees</t>
  </si>
  <si>
    <t>% of delivery sales</t>
  </si>
  <si>
    <t>Swiggy/Zomato effective 24-30% incl. discounts</t>
  </si>
  <si>
    <t>Card/UPI processing</t>
  </si>
  <si>
    <t>% of dine-in sales</t>
  </si>
  <si>
    <t>Admin, accounts, software, insurance, licences</t>
  </si>
  <si>
    <t>Miscellaneous</t>
  </si>
  <si>
    <t>General cost inflation</t>
  </si>
  <si>
    <t>Rent escalation</t>
  </si>
  <si>
    <t>Equivalent to ~15% every 3 years</t>
  </si>
  <si>
    <t>Extra area for an in-house roastery</t>
  </si>
  <si>
    <t>sqft</t>
  </si>
  <si>
    <t>7. Pre-opening (Y0, expensed)</t>
  </si>
  <si>
    <t>Rent-free fit-out not available: rent paid</t>
  </si>
  <si>
    <t>months</t>
  </si>
  <si>
    <t>Payroll before opening (hiring &amp; training)</t>
  </si>
  <si>
    <t>Launch marketing</t>
  </si>
  <si>
    <t>FSSAI, Shop Act, fire NOC, GST, trade licence</t>
  </si>
  <si>
    <t>Recruitment</t>
  </si>
  <si>
    <t>Utilities &amp; sundry before opening</t>
  </si>
  <si>
    <t>8. Capex rules &amp; depreciation</t>
  </si>
  <si>
    <t>Maintenance capex</t>
  </si>
  <si>
    <t>From Y1</t>
  </si>
  <si>
    <t>Refurbishment year</t>
  </si>
  <si>
    <t>year</t>
  </si>
  <si>
    <t>Interiors &amp; furniture refresh</t>
  </si>
  <si>
    <t>Refurbishment cost</t>
  </si>
  <si>
    <t>% of initial interiors+furniture</t>
  </si>
  <si>
    <t>Stamp duty &amp; registration (own case)</t>
  </si>
  <si>
    <t>% of price</t>
  </si>
  <si>
    <t>Gujarat: 4.9% stamp duty + 1% registration</t>
  </si>
  <si>
    <t>Legal &amp; brokerage on purchase</t>
  </si>
  <si>
    <t>Land share of property cost (not depreciated)</t>
  </si>
  <si>
    <t>Book life of maintenance capex</t>
  </si>
  <si>
    <t>years</t>
  </si>
  <si>
    <t>Tax WDV rate on maintenance capex</t>
  </si>
  <si>
    <t>Half rate in year added</t>
  </si>
  <si>
    <t>9. Working capital</t>
  </si>
  <si>
    <t>Aggregator settlement (delivery sales)</t>
  </si>
  <si>
    <t>days</t>
  </si>
  <si>
    <t>Wholesale customer credit</t>
  </si>
  <si>
    <t>Inventory (food, milk, packaging, bought-in beans)</t>
  </si>
  <si>
    <t>Coffee inventory if roasting your own (green stock)</t>
  </si>
  <si>
    <t>Supplier credit</t>
  </si>
  <si>
    <t>10. Financing</t>
  </si>
  <si>
    <t>All-equity if total capital need is at or below</t>
  </si>
  <si>
    <t>Per brief: ₹10-15 lakh projects are fully equity funded</t>
  </si>
  <si>
    <t>Term loan, rented premises</t>
  </si>
  <si>
    <t>% of capex</t>
  </si>
  <si>
    <t>MSME term loan under CGTMSE (collateral-free)</t>
  </si>
  <si>
    <t>Loan, owned premises</t>
  </si>
  <si>
    <t>% of capex + property</t>
  </si>
  <si>
    <t>Lease-rental / loan against commercial property</t>
  </si>
  <si>
    <t>Interest rate, rented case</t>
  </si>
  <si>
    <t>Repo 5.50% + MSME spread</t>
  </si>
  <si>
    <t>Interest rate, owned case</t>
  </si>
  <si>
    <t>Tenor, rented case</t>
  </si>
  <si>
    <t>Equal principal instalments</t>
  </si>
  <si>
    <t>Tenor, owned case</t>
  </si>
  <si>
    <t>Cash-credit (overdraft) rate</t>
  </si>
  <si>
    <t>Draws only if cash dips</t>
  </si>
  <si>
    <t>Minimum cash balance</t>
  </si>
  <si>
    <t>Ramp-up reserve funded at start</t>
  </si>
  <si>
    <t>months of Y1 fixed costs</t>
  </si>
  <si>
    <t>Covers early losses so the café does not lean on an overdraft</t>
  </si>
  <si>
    <t>Interest earned on cash</t>
  </si>
  <si>
    <t>Dividend payout of profit</t>
  </si>
  <si>
    <t>0% = all cash retained</t>
  </si>
  <si>
    <t>11. Valuation</t>
  </si>
  <si>
    <t>Risk-free rate (India 10-yr G-sec)</t>
  </si>
  <si>
    <t>7.29% on 8 Oct 2026</t>
  </si>
  <si>
    <t>Equity risk premium, India</t>
  </si>
  <si>
    <t>Damodaran Jan 2026: 4.23% mature + 2.85% CRP</t>
  </si>
  <si>
    <t>Unlevered beta (restaurants &amp; dining)</t>
  </si>
  <si>
    <t>Size &amp; single-outlet premium</t>
  </si>
  <si>
    <t>Key-person, single-site risk</t>
  </si>
  <si>
    <t>Terminal growth (nominal)</t>
  </si>
  <si>
    <t>Below nominal GDP; one outlet</t>
  </si>
  <si>
    <t>Exit EV/EBITDA cross-check</t>
  </si>
  <si>
    <t>Single cafés trade at 1.5-3x SDE</t>
  </si>
  <si>
    <t>Property selling cost (own case)</t>
  </si>
  <si>
    <t>Capital-gains tax on property gain (own case)</t>
  </si>
  <si>
    <t>12.5% LTCG + surcharge &amp; cess</t>
  </si>
  <si>
    <t>Mid-year discounting (1 = on)</t>
  </si>
  <si>
    <t>Resale value of café capex if shut in Y3</t>
  </si>
  <si>
    <t>% of cost</t>
  </si>
  <si>
    <t>Used for the shut-down downside metric</t>
  </si>
  <si>
    <t>Lists (drop-down sources)</t>
  </si>
  <si>
    <t>Premises options</t>
  </si>
  <si>
    <t>Own</t>
  </si>
  <si>
    <t>Scenario options</t>
  </si>
  <si>
    <t>Location library</t>
  </si>
  <si>
    <t>Four candidate sites. Edit any blue cell; column H feeds the model.</t>
  </si>
  <si>
    <t>Parameter</t>
  </si>
  <si>
    <t>Sindhu Bhavan Road</t>
  </si>
  <si>
    <t>GIFT City</t>
  </si>
  <si>
    <t>Sanand</t>
  </si>
  <si>
    <t>Notes &amp; evidence</t>
  </si>
  <si>
    <t>Café carpet area</t>
  </si>
  <si>
    <t>Ground-floor, street-facing unit; 36-52 seats</t>
  </si>
  <si>
    <t>Seats</t>
  </si>
  <si>
    <t>~22-25 sqft per seat incl. counter &amp; kitchen</t>
  </si>
  <si>
    <t>₹/sqft/mth</t>
  </si>
  <si>
    <t>Listings Oct 2026: Prahladnagar ₹55-120, SBR ₹85-220 (F&amp;B frontage at top end), GIFT ~₹110, Sanand est.</t>
  </si>
  <si>
    <t>CAM / maintenance</t>
  </si>
  <si>
    <t>Grade-A towers in GIFT charge high CAM</t>
  </si>
  <si>
    <t>Security deposit</t>
  </si>
  <si>
    <t>Refundable; 2-6 months typical</t>
  </si>
  <si>
    <t>Interiors, civil &amp; MEP</t>
  </si>
  <si>
    <t>₹/sqft</t>
  </si>
  <si>
    <t>Incl. design fees; excludes equipment</t>
  </si>
  <si>
    <t>Purchase price (own case)</t>
  </si>
  <si>
    <t>Ground-floor retail, carpet basis; SBR showrooms listed ₹19.5-21.5k on built-up area</t>
  </si>
  <si>
    <t>Steady-state bills per day</t>
  </si>
  <si>
    <t>Year-3 demand at 100% ramp (Base footfall factor 1.0)</t>
  </si>
  <si>
    <t>Average bill value (ex-GST, FY28)</t>
  </si>
  <si>
    <t>Specialty cafés ₹500-1,500 for two in Ahmedabad listings</t>
  </si>
  <si>
    <t>Operating days per year</t>
  </si>
  <si>
    <t>GIFT City: weekday-heavy demand</t>
  </si>
  <si>
    <t>Delivery share of café revenue</t>
  </si>
  <si>
    <t>Swiggy/Zomato orders</t>
  </si>
  <si>
    <t>Extra volume growth, Y2-Y6</t>
  </si>
  <si>
    <t>GIFT workforce &amp; Sanand semiconductor jobs growth</t>
  </si>
  <si>
    <t>Staffing factor</t>
  </si>
  <si>
    <t>Headcount scale vs base roster</t>
  </si>
  <si>
    <t>Wholesale potential factor</t>
  </si>
  <si>
    <t>Office pantries (GIFT), industrial canteens (Sanand)</t>
  </si>
  <si>
    <t>Property tax &amp; society charges (own)</t>
  </si>
  <si>
    <t>₹/sqft/yr</t>
  </si>
  <si>
    <t>Property appreciation (own)</t>
  </si>
  <si>
    <t>Derived indicators (Base footfall, Specialty mix, rented)</t>
  </si>
  <si>
    <t>Rent per seat per month</t>
  </si>
  <si>
    <t>Café revenue at steady state (FY28 prices)</t>
  </si>
  <si>
    <t>₹ lakh/yr</t>
  </si>
  <si>
    <t>Rent as % of steady-state revenue</t>
  </si>
  <si>
    <t>Interiors cost</t>
  </si>
  <si>
    <t>₹ lakh</t>
  </si>
  <si>
    <t>Purchase cost of the unit (own case)</t>
  </si>
  <si>
    <t>Gross rental yield on purchase price</t>
  </si>
  <si>
    <t>Site profiles</t>
  </si>
  <si>
    <t>Corporate Road / 100 ft road office &amp; upscale-residential belt. Dense chain competition (Starbucks, Third Wave, Slay, The Dark Roast).</t>
  </si>
  <si>
    <t>Ahmedabad's premier F&amp;B high street (Bodakdev). Highest footfall and spend, evening/weekend peaks, highest rents.</t>
  </si>
  <si>
    <t>India's IFSC: captive, fast-growing white-collar workforce (&gt;12k, target 1 lakh jobs by 2030), few quality cafés, weekday demand.</t>
  </si>
  <si>
    <t>Industrial boom town: Micron ATMP (opened Feb 2026), Tata EV plants; ~50k semicon jobs planned in Gujarat. Cheap space, low ATV, first-mover play.</t>
  </si>
  <si>
    <t>Coffee sourcing &amp; roasting economics</t>
  </si>
  <si>
    <t>Green prices in ₹/kg (Oct 2026). Mix shares must add to 100%. Column J = active mix.</t>
  </si>
  <si>
    <t>Roasting &amp; packing parameters</t>
  </si>
  <si>
    <t>Roast loss (moisture &amp; chaff)</t>
  </si>
  <si>
    <t>1 kg green -&gt; 0.84 kg roasted</t>
  </si>
  <si>
    <t>Toll-roasting fee</t>
  </si>
  <si>
    <t>₹/kg roasted</t>
  </si>
  <si>
    <t>Contract roaster roasts your green</t>
  </si>
  <si>
    <t>Inbound freight, green or roasted</t>
  </si>
  <si>
    <t>₹/kg</t>
  </si>
  <si>
    <t>Chikmagalur/Coorg to Ahmedabad</t>
  </si>
  <si>
    <t>In-house roasting variable cost (LPG, power, bags)</t>
  </si>
  <si>
    <t>Roaster labour &amp; AMC are in fixed costs</t>
  </si>
  <si>
    <t>Café bulk packing</t>
  </si>
  <si>
    <t>Retail bag, valve &amp; label</t>
  </si>
  <si>
    <t>₹12 per 250 g bag</t>
  </si>
  <si>
    <t>Wholesale packing</t>
  </si>
  <si>
    <t>Green coffee type</t>
  </si>
  <si>
    <t>Green ₹/kg</t>
  </si>
  <si>
    <t>Roasted, bought ₹/kg</t>
  </si>
  <si>
    <t>Premium</t>
  </si>
  <si>
    <t>Custom</t>
  </si>
  <si>
    <t>Commodity arabica (Plantation A)</t>
  </si>
  <si>
    <t>share</t>
  </si>
  <si>
    <t>Commodity robusta</t>
  </si>
  <si>
    <t>Fine robusta (washed)</t>
  </si>
  <si>
    <t>Estate specialty arabica (83-85)</t>
  </si>
  <si>
    <t>Micro-lot (86+)</t>
  </si>
  <si>
    <t>Share total (must be 100%)</t>
  </si>
  <si>
    <t>Blended green price</t>
  </si>
  <si>
    <t>Blended roasted price if bought</t>
  </si>
  <si>
    <t>Green coffee in 1 kg roasted</t>
  </si>
  <si>
    <t>Cost per kg of roasted coffee, by route (FY28, before green-price index)</t>
  </si>
  <si>
    <t>Roaster's margin &amp; conversion (buy roasted)</t>
  </si>
  <si>
    <t>Toll fee + freight (toll roasting)</t>
  </si>
  <si>
    <t>Variable roasting cost + freight (in-house)</t>
  </si>
  <si>
    <t>Total: Buy roasted</t>
  </si>
  <si>
    <t>Total: Toll roasting</t>
  </si>
  <si>
    <t>Total: In-house roastery (variable only)</t>
  </si>
  <si>
    <t>Coffee cost per 18 g double shot, toll route</t>
  </si>
  <si>
    <t>Demand &amp; price effects of the bean mix</t>
  </si>
  <si>
    <t>Average-bill premium vs Specialty</t>
  </si>
  <si>
    <t>Menu pricing the bean quality supports</t>
  </si>
  <si>
    <t>Footfall effect vs Specialty</t>
  </si>
  <si>
    <t>Value draws a broader crowd; Premium narrows it</t>
  </si>
  <si>
    <t>Retail bean price (own label)</t>
  </si>
  <si>
    <t>₹400 / ₹600 / ₹900 / ₹700 per 250 g bag</t>
  </si>
  <si>
    <t>Wholesale roasted-bean price (FY28)</t>
  </si>
  <si>
    <t>To offices, cafés &amp; hotels (in-house roastery only)</t>
  </si>
  <si>
    <t>Roasting routes (drop-down list)</t>
  </si>
  <si>
    <t>Route options</t>
  </si>
  <si>
    <t>Buy roasted</t>
  </si>
  <si>
    <t>In-house roastery</t>
  </si>
  <si>
    <t>Active coffee cost (feeds the Model)</t>
  </si>
  <si>
    <t>Green coffee per kg roasted, active mix</t>
  </si>
  <si>
    <t>Conversion cost per kg, active route</t>
  </si>
  <si>
    <t>Roasted coffee cost per kg (FY28 basis)</t>
  </si>
  <si>
    <t>Own-label retail price</t>
  </si>
  <si>
    <t>Wholesale price, active mix</t>
  </si>
  <si>
    <t>Average-bill premium of active mix</t>
  </si>
  <si>
    <t>Footfall effect of active mix</t>
  </si>
  <si>
    <t>Capex, property &amp; funding</t>
  </si>
  <si>
    <t>Unit costs in ₹ (ex-GST, Oct 2026). Amounts in ₹ lakh include the scenario capex-overrun and any Scenarios-sheet capex multiplier.</t>
  </si>
  <si>
    <t>Equipment &amp; fit-out</t>
  </si>
  <si>
    <t>Item</t>
  </si>
  <si>
    <t>Basis</t>
  </si>
  <si>
    <t>Unit cost ₹</t>
  </si>
  <si>
    <t>Quantity</t>
  </si>
  <si>
    <t>Asset class</t>
  </si>
  <si>
    <t>Notes</t>
  </si>
  <si>
    <t>Interiors, civil, MEP &amp; design</t>
  </si>
  <si>
    <t>per sqft (site)</t>
  </si>
  <si>
    <t>Interiors</t>
  </si>
  <si>
    <t>Site-specific rate from Locations</t>
  </si>
  <si>
    <t>HVAC (ductable / split ACs)</t>
  </si>
  <si>
    <t>per sqft</t>
  </si>
  <si>
    <t>Equipment</t>
  </si>
  <si>
    <t>Electrical upgrade, UPS &amp; DG share</t>
  </si>
  <si>
    <t>lump sum</t>
  </si>
  <si>
    <t>Espresso machine, 2-group multi-boiler</t>
  </si>
  <si>
    <t>La Marzocco Linea PB 2GR ₹11.26 lakh + GST; Brewlyn 2GR ₹6.30 lakh</t>
  </si>
  <si>
    <t>Grinders: 2 on-demand espresso + 1 filter</t>
  </si>
  <si>
    <t>Brew bar, cold-brew kit &amp; water boiler</t>
  </si>
  <si>
    <t>Kitchen equipment &amp; refrigeration</t>
  </si>
  <si>
    <t>Water treatment (RO + softener + remineralisation)</t>
  </si>
  <si>
    <t>Furniture &amp; seating</t>
  </si>
  <si>
    <t>per seat</t>
  </si>
  <si>
    <t>Furniture</t>
  </si>
  <si>
    <t>Crockery, glassware &amp; smallwares</t>
  </si>
  <si>
    <t>Signage &amp; branding</t>
  </si>
  <si>
    <t>POS, CCTV, audio &amp; Wi-Fi</t>
  </si>
  <si>
    <t>IT</t>
  </si>
  <si>
    <t>3 kg drum roaster (Indian-made) incl. install</t>
  </si>
  <si>
    <t>in-house only</t>
  </si>
  <si>
    <t>Roastery</t>
  </si>
  <si>
    <t>Aaroasta (Rajkot) ARST-3, LPG, 6-9 kg/hour</t>
  </si>
  <si>
    <t>Afterburner, chimney &amp; ducting</t>
  </si>
  <si>
    <t>QC &amp; packing kit (moisture meter, sealer, sample roaster)</t>
  </si>
  <si>
    <t>Roastery area fit-out (150 sqft)</t>
  </si>
  <si>
    <t>roastery sqft</t>
  </si>
  <si>
    <t>Café &amp; roastery capex</t>
  </si>
  <si>
    <t>Premises (own case)</t>
  </si>
  <si>
    <t>Area occupied (café + roastery if in-house)</t>
  </si>
  <si>
    <t>Purchase price, active location</t>
  </si>
  <si>
    <t>Purchase price</t>
  </si>
  <si>
    <t>Stamp duty &amp; registration</t>
  </si>
  <si>
    <t>Legal &amp; brokerage</t>
  </si>
  <si>
    <t>Total property cost</t>
  </si>
  <si>
    <t>of which land (not depreciated)</t>
  </si>
  <si>
    <t>of which building</t>
  </si>
  <si>
    <t>Initial capex by asset class</t>
  </si>
  <si>
    <t>Book life</t>
  </si>
  <si>
    <t>Tax WDV rate</t>
  </si>
  <si>
    <t>Building</t>
  </si>
  <si>
    <t>Land</t>
  </si>
  <si>
    <t>Total initial capex incl. property</t>
  </si>
  <si>
    <t>Book: straight line from Y1 (land not depreciated). Tax: Income-tax Act block rates, WDV; furniture &amp; fittings 10%, plant &amp; machinery 15%, computers 40%, buildings 10%.</t>
  </si>
  <si>
    <t>Sources &amp; uses of funds (Y0)</t>
  </si>
  <si>
    <t>Property purchase incl. stamp duty</t>
  </si>
  <si>
    <t>Pre-opening expenses</t>
  </si>
  <si>
    <t>Rent deposit (refundable)</t>
  </si>
  <si>
    <t>Opening cash: minimum balance + ramp-up reserve</t>
  </si>
  <si>
    <t>Total capital requirement</t>
  </si>
  <si>
    <t>Loan share, active premises</t>
  </si>
  <si>
    <t>Term loan</t>
  </si>
  <si>
    <t>All-equity if the requirement is within ₹15 lakh, else loan on capex/property</t>
  </si>
  <si>
    <t>Promoter equity</t>
  </si>
  <si>
    <t>Total sources</t>
  </si>
  <si>
    <t>Debt / total capital</t>
  </si>
  <si>
    <t>Loan interest rate</t>
  </si>
  <si>
    <t>Loan tenor</t>
  </si>
  <si>
    <t>Model: three statements &amp; schedules</t>
  </si>
  <si>
    <t>₹ lakh unless stated. Statements contain links only; all workings are in the schedules below.</t>
  </si>
  <si>
    <t>Operating flag</t>
  </si>
  <si>
    <t>Food &amp; supplies price index</t>
  </si>
  <si>
    <t>General cost index</t>
  </si>
  <si>
    <t>Income statement</t>
  </si>
  <si>
    <t>Beverages</t>
  </si>
  <si>
    <t>Food</t>
  </si>
  <si>
    <t>Retail beans &amp; merchandise</t>
  </si>
  <si>
    <t>Wholesale roasted beans</t>
  </si>
  <si>
    <t>Revenue</t>
  </si>
  <si>
    <t>growth</t>
  </si>
  <si>
    <t>Cost of goods sold</t>
  </si>
  <si>
    <t>Gross profit</t>
  </si>
  <si>
    <t>gross margin</t>
  </si>
  <si>
    <t>Staff costs</t>
  </si>
  <si>
    <t>Rent, CAM &amp; property tax</t>
  </si>
  <si>
    <t>Electricity, gas &amp; water</t>
  </si>
  <si>
    <t>Marketing</t>
  </si>
  <si>
    <t>Aggregator &amp; payment fees</t>
  </si>
  <si>
    <t>Repairs, maintenance &amp; AMC</t>
  </si>
  <si>
    <t>Admin, wholesale selling &amp; other</t>
  </si>
  <si>
    <t>EBITDA</t>
  </si>
  <si>
    <t>EBITDA margin</t>
  </si>
  <si>
    <t>Depreciation</t>
  </si>
  <si>
    <t>EBIT</t>
  </si>
  <si>
    <t>Interest expense</t>
  </si>
  <si>
    <t>Interest income</t>
  </si>
  <si>
    <t>Profit before tax</t>
  </si>
  <si>
    <t>Current tax</t>
  </si>
  <si>
    <t>Deferred tax</t>
  </si>
  <si>
    <t>Profit after tax</t>
  </si>
  <si>
    <t>net margin</t>
  </si>
  <si>
    <t>Cash flow statement</t>
  </si>
  <si>
    <t>Add: depreciation</t>
  </si>
  <si>
    <t>Add: deferred tax</t>
  </si>
  <si>
    <t>Less: increase in working capital</t>
  </si>
  <si>
    <t>Cash from operations</t>
  </si>
  <si>
    <t>Capex incl. property</t>
  </si>
  <si>
    <t>Rent deposit paid</t>
  </si>
  <si>
    <t>Cash from investing</t>
  </si>
  <si>
    <t>Term loan drawn</t>
  </si>
  <si>
    <t>Term loan repaid</t>
  </si>
  <si>
    <t>Cash credit drawn / (repaid)</t>
  </si>
  <si>
    <t>Equity invested</t>
  </si>
  <si>
    <t>Dividends paid</t>
  </si>
  <si>
    <t>Cash from financing</t>
  </si>
  <si>
    <t>Net change in cash</t>
  </si>
  <si>
    <t>Opening cash</t>
  </si>
  <si>
    <t>Closing cash</t>
  </si>
  <si>
    <t>Balance sheet (31 March)</t>
  </si>
  <si>
    <t>Cash</t>
  </si>
  <si>
    <t>Receivables</t>
  </si>
  <si>
    <t>Inventory</t>
  </si>
  <si>
    <t>Rent deposit</t>
  </si>
  <si>
    <t>Fixed assets, net (incl. property)</t>
  </si>
  <si>
    <t>Total assets</t>
  </si>
  <si>
    <t>Payables</t>
  </si>
  <si>
    <t>Cash credit</t>
  </si>
  <si>
    <t>Deferred tax liability / (asset), net</t>
  </si>
  <si>
    <t>Total liabilities</t>
  </si>
  <si>
    <t>Share capital</t>
  </si>
  <si>
    <t>Retained earnings</t>
  </si>
  <si>
    <t>Shareholders' equity</t>
  </si>
  <si>
    <t>Total liabilities &amp; equity</t>
  </si>
  <si>
    <t>Check (assets - liabilities - equity)</t>
  </si>
  <si>
    <t>Schedule 1: Revenue</t>
  </si>
  <si>
    <t>Ramp-up (Live driver)</t>
  </si>
  <si>
    <t>Volume growth (Live driver)</t>
  </si>
  <si>
    <t>Location growth premium (Y2-Y6)</t>
  </si>
  <si>
    <t>Volume index</t>
  </si>
  <si>
    <t>Bills per day, demand</t>
  </si>
  <si>
    <t>Bills per day, seating capacity</t>
  </si>
  <si>
    <t>Bills per day</t>
  </si>
  <si>
    <t>Capacity utilisation</t>
  </si>
  <si>
    <t>Operating days</t>
  </si>
  <si>
    <t>Bills per year</t>
  </si>
  <si>
    <t>Average bill value (ex-GST)</t>
  </si>
  <si>
    <t>Menu price increase (Live driver)</t>
  </si>
  <si>
    <t>Café revenue</t>
  </si>
  <si>
    <t>Wholesale beans sold (in-house roastery only)</t>
  </si>
  <si>
    <t>kg/month</t>
  </si>
  <si>
    <t>Wholesale beans sold</t>
  </si>
  <si>
    <t>kg/yr</t>
  </si>
  <si>
    <t>Wholesale revenue</t>
  </si>
  <si>
    <t>Total revenue</t>
  </si>
  <si>
    <t>Schedule 2: Cost of goods sold</t>
  </si>
  <si>
    <t>Beverages sold</t>
  </si>
  <si>
    <t>Coffee used in the café</t>
  </si>
  <si>
    <t>kg</t>
  </si>
  <si>
    <t>Retail beans sold</t>
  </si>
  <si>
    <t>Roasted coffee to source (own label)</t>
  </si>
  <si>
    <t>Green coffee to buy (toll / in-house)</t>
  </si>
  <si>
    <t>Green-coffee price index (Live x override)</t>
  </si>
  <si>
    <t>Roasted coffee cost</t>
  </si>
  <si>
    <t>Coffee (café)</t>
  </si>
  <si>
    <t>Milk, syrups &amp; other beverage inputs</t>
  </si>
  <si>
    <t>Takeaway &amp; delivery packaging</t>
  </si>
  <si>
    <t>Retail beans</t>
  </si>
  <si>
    <t>Wholesale beans</t>
  </si>
  <si>
    <t>COGS % of revenue</t>
  </si>
  <si>
    <t>memo: coffee in COGS</t>
  </si>
  <si>
    <t>memo: coffee cost per beverage</t>
  </si>
  <si>
    <t>Schedule 3: Operating expenses</t>
  </si>
  <si>
    <t>Staffing scale-up for volume above steady state</t>
  </si>
  <si>
    <t>CAM / society maintenance</t>
  </si>
  <si>
    <t>Property tax (own case)</t>
  </si>
  <si>
    <t>Electricity</t>
  </si>
  <si>
    <t>Gas, water &amp; cleaning</t>
  </si>
  <si>
    <t>Equipment AMC</t>
  </si>
  <si>
    <t>Aggregator commission</t>
  </si>
  <si>
    <t>Card / UPI fees</t>
  </si>
  <si>
    <t>Admin, accounts, software, insurance</t>
  </si>
  <si>
    <t>Wholesale selling &amp; delivery</t>
  </si>
  <si>
    <t>Operating expenses</t>
  </si>
  <si>
    <t>memo: fixed costs</t>
  </si>
  <si>
    <t>memo: variable costs incl. COGS</t>
  </si>
  <si>
    <t>Contribution margin</t>
  </si>
  <si>
    <t>Break-even bills per day (EBITDA = 0)</t>
  </si>
  <si>
    <t>Margin of safety (bills above break-even)</t>
  </si>
  <si>
    <t>Schedule 4: Fixed assets &amp; depreciation</t>
  </si>
  <si>
    <t>Initial capex incl. property (Capex sheet)</t>
  </si>
  <si>
    <t>Refurbishment</t>
  </si>
  <si>
    <t>Ongoing capex</t>
  </si>
  <si>
    <t>Total capex</t>
  </si>
  <si>
    <t>Book depreciation (straight line)</t>
  </si>
  <si>
    <t>Ongoing capex (vintages)</t>
  </si>
  <si>
    <t>Book depreciation</t>
  </si>
  <si>
    <t>Net book value, opening</t>
  </si>
  <si>
    <t>Net book value, closing</t>
  </si>
  <si>
    <t>Tax depreciation (written-down value)</t>
  </si>
  <si>
    <t>Ongoing capex block, opening WDV</t>
  </si>
  <si>
    <t>Additions</t>
  </si>
  <si>
    <t>Tax depreciation, ongoing block</t>
  </si>
  <si>
    <t>Ongoing capex block, closing WDV</t>
  </si>
  <si>
    <t>Tax depreciation</t>
  </si>
  <si>
    <t>Tax written-down value, closing</t>
  </si>
  <si>
    <t>Deferred tax liability / (asset)</t>
  </si>
  <si>
    <t>Deferred tax charge</t>
  </si>
  <si>
    <t>Schedule 5: Income tax</t>
  </si>
  <si>
    <t>Add back book depreciation</t>
  </si>
  <si>
    <t>Less tax depreciation</t>
  </si>
  <si>
    <t>Taxable income before losses</t>
  </si>
  <si>
    <t>Losses brought forward</t>
  </si>
  <si>
    <t>Losses added</t>
  </si>
  <si>
    <t>Losses used</t>
  </si>
  <si>
    <t>Losses carried forward</t>
  </si>
  <si>
    <t>Taxable income</t>
  </si>
  <si>
    <t>Total tax charge</t>
  </si>
  <si>
    <t>Schedule 6: Working capital &amp; deposit</t>
  </si>
  <si>
    <t>Net working capital</t>
  </si>
  <si>
    <t>Increase / (decrease)</t>
  </si>
  <si>
    <t>Rent deposit balance</t>
  </si>
  <si>
    <t>Schedule 7: Debt</t>
  </si>
  <si>
    <t>Opening</t>
  </si>
  <si>
    <t>Drawn</t>
  </si>
  <si>
    <t>Repaid</t>
  </si>
  <si>
    <t>Closing</t>
  </si>
  <si>
    <t>Interest</t>
  </si>
  <si>
    <t>Cash credit (revolver)</t>
  </si>
  <si>
    <t>Cash available before cash credit, above minimum</t>
  </si>
  <si>
    <t>Drawn / (repaid)</t>
  </si>
  <si>
    <t>Debt service cover (EBITDA - tax) / (interest + principal)</t>
  </si>
  <si>
    <t>Schedule 8: Equity</t>
  </si>
  <si>
    <t>Share capital, opening</t>
  </si>
  <si>
    <t>Share capital, closing</t>
  </si>
  <si>
    <t>Retained earnings, opening</t>
  </si>
  <si>
    <t>Dividends</t>
  </si>
  <si>
    <t>Retained earnings, closing</t>
  </si>
  <si>
    <t>DCF valuation (FCFF)</t>
  </si>
  <si>
    <t>Valuation date 31 March 2027 (end of Y0). Y0 investment is undiscounted; Y1-Y10 discounted at WACC; Gordon-growth terminal value at Y10.</t>
  </si>
  <si>
    <t>Free cash flow to the firm</t>
  </si>
  <si>
    <t>Less: depreciation</t>
  </si>
  <si>
    <t>Unlevered tax (as if no debt)</t>
  </si>
  <si>
    <t>EBIT + book dep - tax dep</t>
  </si>
  <si>
    <t>Unlevered tax</t>
  </si>
  <si>
    <t>Free cash flow</t>
  </si>
  <si>
    <t>NOPAT (EBIT - unlevered tax)</t>
  </si>
  <si>
    <t>Less: capex incl. property</t>
  </si>
  <si>
    <t>Less: rent deposit</t>
  </si>
  <si>
    <t>Free cash flow to firm</t>
  </si>
  <si>
    <t>Discount period</t>
  </si>
  <si>
    <t>Discount factor</t>
  </si>
  <si>
    <t>Present value of FCFF</t>
  </si>
  <si>
    <t>Cost of capital</t>
  </si>
  <si>
    <t>Risk-free rate</t>
  </si>
  <si>
    <t>Equity risk premium</t>
  </si>
  <si>
    <t>Unlevered beta</t>
  </si>
  <si>
    <t>Debt / (debt + equity), from funding plan</t>
  </si>
  <si>
    <t>Debt / equity</t>
  </si>
  <si>
    <t>Relevered beta</t>
  </si>
  <si>
    <t>Cost of equity</t>
  </si>
  <si>
    <t>Cost of debt, pre-tax</t>
  </si>
  <si>
    <t>Cost of debt, after tax</t>
  </si>
  <si>
    <t>WACC, calculated</t>
  </si>
  <si>
    <t>WACC used (incl. any Scenarios-sheet change)</t>
  </si>
  <si>
    <t>Terminal growth used</t>
  </si>
  <si>
    <t>Terminal value at Y10</t>
  </si>
  <si>
    <t>Terminal year</t>
  </si>
  <si>
    <t>Own case: market rent the site would pay in Y11</t>
  </si>
  <si>
    <t>Normalised refurbishment per year (cost / cycle)</t>
  </si>
  <si>
    <t>Operating FCFF in Y11 (after notional rent if owned)</t>
  </si>
  <si>
    <t>Terminal value of operations (Gordon growth)</t>
  </si>
  <si>
    <t>Own case: property market value at Y10</t>
  </si>
  <si>
    <t>less selling cost</t>
  </si>
  <si>
    <t>less capital-gains tax</t>
  </si>
  <si>
    <t>Terminal value (operations + property)</t>
  </si>
  <si>
    <t>Discount factor at Y10</t>
  </si>
  <si>
    <t>Present value of terminal value</t>
  </si>
  <si>
    <t>Implied EV / EBITDA of operations at Y10</t>
  </si>
  <si>
    <t>Cross-check: operations value at exit multiple</t>
  </si>
  <si>
    <t>Valuation results</t>
  </si>
  <si>
    <t>Sum of PV of FCFF, Y0-Y10</t>
  </si>
  <si>
    <t>Project NPV at WACC</t>
  </si>
  <si>
    <t>Terminal value share of gross value</t>
  </si>
  <si>
    <t>Project cash flows for IRR (FCFF + TV)</t>
  </si>
  <si>
    <t>Project IRR</t>
  </si>
  <si>
    <t>Equity view</t>
  </si>
  <si>
    <t>Free cash flow to equity (Y0: equity in, net of cash kept)</t>
  </si>
  <si>
    <t>Equity cash flows (Y10 adds TV less debt)</t>
  </si>
  <si>
    <t>Equity IRR</t>
  </si>
  <si>
    <t>Equity NPV at cost of equity</t>
  </si>
  <si>
    <t>Equity multiple (money in : money out)</t>
  </si>
  <si>
    <t>Payback</t>
  </si>
  <si>
    <t>Cumulative FCFF</t>
  </si>
  <si>
    <t>helper: payback year</t>
  </si>
  <si>
    <t>Cumulative PV of FCFF</t>
  </si>
  <si>
    <t>helper: discounted payback year</t>
  </si>
  <si>
    <t>Payback (undiscounted, from opening)</t>
  </si>
  <si>
    <t>Discounted payback</t>
  </si>
  <si>
    <t>Key metrics</t>
  </si>
  <si>
    <t>Revenue, Y1</t>
  </si>
  <si>
    <t>Revenue, Y3 (steady state)</t>
  </si>
  <si>
    <t>EBITDA, Y3</t>
  </si>
  <si>
    <t>EBITDA margin, Y3</t>
  </si>
  <si>
    <t>Profit after tax, Y3</t>
  </si>
  <si>
    <t>Bills per day, Y3</t>
  </si>
  <si>
    <t>Break-even bills per day, Y3</t>
  </si>
  <si>
    <t>Margin of safety, Y3</t>
  </si>
  <si>
    <t>COGS % of revenue, Y3</t>
  </si>
  <si>
    <t>Staff % of revenue, Y3</t>
  </si>
  <si>
    <t>Occupancy % of revenue, Y3</t>
  </si>
  <si>
    <t>EBITDA, Y1</t>
  </si>
  <si>
    <t>Revenue, Y10</t>
  </si>
  <si>
    <t>EBITDA, Y10</t>
  </si>
  <si>
    <t>Peak cash-credit draw</t>
  </si>
  <si>
    <t>Minimum DSCR after the ramp-up year (Y2 on)</t>
  </si>
  <si>
    <t>Downside: net cash lost if shut at end of Y3</t>
  </si>
  <si>
    <t>Cumulative FCFF to Y3 + equipment resale + deposit + working capital + property resale</t>
  </si>
  <si>
    <t>Cash at Y10 (if never distributed)</t>
  </si>
  <si>
    <t>Pre-tax return on capital employed, Y5</t>
  </si>
  <si>
    <t>Scenarios &amp; sensitivities</t>
  </si>
  <si>
    <t>Live Excel data tables: each cell re-runs the full model. Keep the blue override cells at their default (0 or 1) for normal use.</t>
  </si>
  <si>
    <t>Override panel (data-table input cells)</t>
  </si>
  <si>
    <t>Scenario (0 = Inputs; 1 Best, 2 Base, 3 Worst)</t>
  </si>
  <si>
    <t/>
  </si>
  <si>
    <t>Configuration # from Configs sheet (0 = Inputs)</t>
  </si>
  <si>
    <t>Location # (0 = Inputs/config)</t>
  </si>
  <si>
    <t>Premises # (0 = Inputs/config; 1 Rent, 2 Own)</t>
  </si>
  <si>
    <t>Roasting route # (0 = Inputs/config; 1 Buy, 2 Toll, 3 In-house)</t>
  </si>
  <si>
    <t>Bean mix # (0 = Inputs/config; 1-4)</t>
  </si>
  <si>
    <t>Wholesale kg/month at maturity (0 = Inputs)</t>
  </si>
  <si>
    <t>Bills-per-day multiplier</t>
  </si>
  <si>
    <t>Average-bill multiplier</t>
  </si>
  <si>
    <t>Rent multiplier</t>
  </si>
  <si>
    <t>Green-coffee price multiplier</t>
  </si>
  <si>
    <t>Capex multiplier</t>
  </si>
  <si>
    <t>Staff-cost multiplier</t>
  </si>
  <si>
    <t>WACC change (+/- percentage points)</t>
  </si>
  <si>
    <t>Terminal growth override (0 = Inputs)</t>
  </si>
  <si>
    <t>Tornado variable # (0 = off)</t>
  </si>
  <si>
    <t>Tornado side (1 low, 2 high)</t>
  </si>
  <si>
    <t>Tornado definitions (one variable at a time)</t>
  </si>
  <si>
    <t>Variable</t>
  </si>
  <si>
    <t>Low</t>
  </si>
  <si>
    <t>High</t>
  </si>
  <si>
    <t>Average bill value</t>
  </si>
  <si>
    <t>Green-coffee price</t>
  </si>
  <si>
    <t>Staff cost</t>
  </si>
  <si>
    <t>WACC (+/- pp)</t>
  </si>
  <si>
    <t>Terminal growth (abs.)</t>
  </si>
  <si>
    <t>Effective values used by the model</t>
  </si>
  <si>
    <t>Green-price multiplier</t>
  </si>
  <si>
    <t>Wholesale kg/month at maturity</t>
  </si>
  <si>
    <t>WACC change</t>
  </si>
  <si>
    <t>pp</t>
  </si>
  <si>
    <t>Terminal growth</t>
  </si>
  <si>
    <t>T1. Scenario analysis (Best / Base / Worst) for the active configuration</t>
  </si>
  <si>
    <t>NPV ₹ lakh</t>
  </si>
  <si>
    <t>Equity NPV ₹ lakh</t>
  </si>
  <si>
    <t>Disc. payback</t>
  </si>
  <si>
    <t>Capital need ₹ lakh</t>
  </si>
  <si>
    <t>Y3 revenue ₹ lakh</t>
  </si>
  <si>
    <t>Y3 EBITDA margin</t>
  </si>
  <si>
    <t>Break-even bills/day</t>
  </si>
  <si>
    <t>Peak cash credit ₹ lakh</t>
  </si>
  <si>
    <t>Current model value →</t>
  </si>
  <si>
    <t>n.m.</t>
  </si>
  <si>
    <t>T2. Location × premises (active roasting route, mix and scenario)</t>
  </si>
  <si>
    <t>Project NPV, ₹ lakh</t>
  </si>
  <si>
    <t>Location ↓  Premises →</t>
  </si>
  <si>
    <t>Total capital requirement, ₹ lakh</t>
  </si>
  <si>
    <t>T3. Roasting route × bean mix (active location, premises and scenario)</t>
  </si>
  <si>
    <t>Roasting ↓  Mix →</t>
  </si>
  <si>
    <t>T4. Configurations (defined on the Configs sheet), active scenario</t>
  </si>
  <si>
    <t>Configuration</t>
  </si>
  <si>
    <t>Equity ₹ lakh</t>
  </si>
  <si>
    <t>Y3 EBITDA ₹ lakh</t>
  </si>
  <si>
    <t>Min DSCR</t>
  </si>
  <si>
    <t>T5. Configurations × scenario</t>
  </si>
  <si>
    <t>Configuration ↓  Scenario →</t>
  </si>
  <si>
    <t>T6. Sensitivities on the active configuration</t>
  </si>
  <si>
    <t>Project NPV (₹ lakh): WACC change ↓ × terminal growth →</t>
  </si>
  <si>
    <t>WACC ↓  growth →</t>
  </si>
  <si>
    <t>g 3.0%</t>
  </si>
  <si>
    <t>g 3.5%</t>
  </si>
  <si>
    <t>g 4.0%</t>
  </si>
  <si>
    <t>g 4.5%</t>
  </si>
  <si>
    <t>g 5.0%</t>
  </si>
  <si>
    <t>-2.0 pp</t>
  </si>
  <si>
    <t>-1.0 pp</t>
  </si>
  <si>
    <t>WACC as calculated</t>
  </si>
  <si>
    <t>+1.0 pp</t>
  </si>
  <si>
    <t>+2.0 pp</t>
  </si>
  <si>
    <t>Project NPV (₹ lakh): bills per day ↓ × average bill →</t>
  </si>
  <si>
    <t>Bills ↓  Average bill →</t>
  </si>
  <si>
    <t>Bill -10%</t>
  </si>
  <si>
    <t>Bill -5%</t>
  </si>
  <si>
    <t>Bill base</t>
  </si>
  <si>
    <t>Bill +5%</t>
  </si>
  <si>
    <t>Bill +10%</t>
  </si>
  <si>
    <t>Bills -20%</t>
  </si>
  <si>
    <t>Bills -10%</t>
  </si>
  <si>
    <t>Bills as modelled</t>
  </si>
  <si>
    <t>Bills +10%</t>
  </si>
  <si>
    <t>Bills +20%</t>
  </si>
  <si>
    <t>Project IRR: rent ↓ × bills per day →</t>
  </si>
  <si>
    <t>Rent ↓  Bills →</t>
  </si>
  <si>
    <t>Bills base</t>
  </si>
  <si>
    <t>Rent -20%</t>
  </si>
  <si>
    <t>Rent -10%</t>
  </si>
  <si>
    <t>Rent as modelled</t>
  </si>
  <si>
    <t>Rent +10%</t>
  </si>
  <si>
    <t>Rent +20%</t>
  </si>
  <si>
    <t>Y3 EBITDA margin: green-coffee price ↓ × roasting route →</t>
  </si>
  <si>
    <t>Green price ↓  Route →</t>
  </si>
  <si>
    <t>Green -30%</t>
  </si>
  <si>
    <t>Green -15%</t>
  </si>
  <si>
    <t>Green as modelled</t>
  </si>
  <si>
    <t>Green +15%</t>
  </si>
  <si>
    <t>Green +30%</t>
  </si>
  <si>
    <t>Green +60%</t>
  </si>
  <si>
    <t>Project NPV (₹ lakh): wholesale volume ↓ × roasting route → (wholesale only with an in-house roastery)</t>
  </si>
  <si>
    <t>Wholesale volume ↓  Route →</t>
  </si>
  <si>
    <t>50 kg/month</t>
  </si>
  <si>
    <t>150 kg/month</t>
  </si>
  <si>
    <t>300 kg/month</t>
  </si>
  <si>
    <t>450 kg/month</t>
  </si>
  <si>
    <t>600 kg/month</t>
  </si>
  <si>
    <t>800 kg/month</t>
  </si>
  <si>
    <t>T7. Tornado: project NPV when one variable moves (₹ lakh)</t>
  </si>
  <si>
    <t>Variable ↓  side →</t>
  </si>
  <si>
    <t>Low vs base</t>
  </si>
  <si>
    <t>High vs base</t>
  </si>
  <si>
    <t>Swing</t>
  </si>
  <si>
    <t>T8. Rent vs own: free cash flows of the active configuration under each premises option</t>
  </si>
  <si>
    <t>Premises (Y10 includes terminal value)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</si>
  <si>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</si>
  <si>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</si>
  <si>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</si>
  <si>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</si>
  <si>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</si>
  <si>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</si>
  <si>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</si>
  <si>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</si>
  <si>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</si>
  <si>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</si>
  <si>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</si>
  <si>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NPV</t>
  </si>
  <si>
    <t>Incremental cash flow of buying (Own - Rent)</t>
  </si>
  <si>
    <t>Incremental IRR of buying instead of renting</t>
  </si>
  <si>
    <t>Buying beats renting only if this IRR exceeds the cost of the extra capital tied up.</t>
  </si>
  <si>
    <t>Configurations compared</t>
  </si>
  <si>
    <t>Edit the blue cells to define your own combinations. Results come from data table T4 on the Scenarios sheet (active scenario).</t>
  </si>
  <si>
    <t>Name</t>
  </si>
  <si>
    <t>Roasting</t>
  </si>
  <si>
    <t>Mix</t>
  </si>
  <si>
    <t>Capital ₹ lakh</t>
  </si>
  <si>
    <t>Y3 EBITDA %</t>
  </si>
  <si>
    <t>Break-even bills</t>
  </si>
  <si>
    <t>Rank (NPV)</t>
  </si>
  <si>
    <t>PN-R-Buy</t>
  </si>
  <si>
    <t>PN-R-Toll</t>
  </si>
  <si>
    <t>PN-R-InH</t>
  </si>
  <si>
    <t>PN-O-Toll</t>
  </si>
  <si>
    <t>PN-R-Toll-Val</t>
  </si>
  <si>
    <t>PN-R-Toll-Prm</t>
  </si>
  <si>
    <t>PN-R-Toll-Cus</t>
  </si>
  <si>
    <t>SBR-R-Buy</t>
  </si>
  <si>
    <t>SBR-R-Toll</t>
  </si>
  <si>
    <t>SBR-R-InH</t>
  </si>
  <si>
    <t>SBR-O-Toll</t>
  </si>
  <si>
    <t>SBR-R-Toll-Cus</t>
  </si>
  <si>
    <t>GIFT-R-Buy</t>
  </si>
  <si>
    <t>GIFT-R-Toll</t>
  </si>
  <si>
    <t>GIFT-R-InH</t>
  </si>
  <si>
    <t>GIFT-O-Toll</t>
  </si>
  <si>
    <t>GIFT-R-Toll-Cus</t>
  </si>
  <si>
    <t>SAN-R-Toll</t>
  </si>
  <si>
    <t>SAN-R-InH</t>
  </si>
  <si>
    <t>SAN-O-Toll</t>
  </si>
  <si>
    <t>Naming: PN = Prahladnagar, SBR = Sindhu Bhavan Road, GIFT = GIFT City, SAN = Sanand; R = rent, O = own; Buy / Toll / InH = roasting route; Val / Prm = Value / Premium mix (default Specialty).</t>
  </si>
  <si>
    <t>Outputs for the configuration and scenario chosen on Inputs. ₹ lakh unless stated.</t>
  </si>
  <si>
    <t>Selected configuration</t>
  </si>
  <si>
    <t>Roasting route</t>
  </si>
  <si>
    <t>Key outputs</t>
  </si>
  <si>
    <t>Payback from opening</t>
  </si>
  <si>
    <t>Revenue Y3</t>
  </si>
  <si>
    <t>WACC</t>
  </si>
  <si>
    <t>EBITDA Y3</t>
  </si>
  <si>
    <t>EBITDA margin Y3</t>
  </si>
  <si>
    <t>Project NPV</t>
  </si>
  <si>
    <t>Bills per day Y3</t>
  </si>
  <si>
    <t>Break-even bills per day Y3</t>
  </si>
  <si>
    <t>Margin of safety Y3</t>
  </si>
  <si>
    <t>Equity multiple</t>
  </si>
  <si>
    <t>Minimum DSCR (Y2 on)</t>
  </si>
  <si>
    <t>Terminal value share of value</t>
  </si>
  <si>
    <t>Pre-tax ROCE Y5</t>
  </si>
  <si>
    <t>Implied exit EV/EBITDA</t>
  </si>
  <si>
    <t>Cash lost if shut after Y3</t>
  </si>
  <si>
    <t>Financial summary (₹ lakh)</t>
  </si>
  <si>
    <t>Average bill (₹)</t>
  </si>
  <si>
    <t>Gross margin</t>
  </si>
  <si>
    <t>Debt (term loan + cash credit)</t>
  </si>
  <si>
    <t>Scenario analysis (from Scenarios T1)</t>
  </si>
  <si>
    <t>Y3 revenue</t>
  </si>
  <si>
    <t>Capital need</t>
  </si>
  <si>
    <t>Rent vs own, by location (from Scenarios T2)</t>
  </si>
  <si>
    <t>NPV Rent</t>
  </si>
  <si>
    <t>NPV Own</t>
  </si>
  <si>
    <t>IRR Rent</t>
  </si>
  <si>
    <t>IRR Own</t>
  </si>
  <si>
    <t>Eq. IRR Rent</t>
  </si>
  <si>
    <t>Eq. IRR Own</t>
  </si>
  <si>
    <t>Capital Rent</t>
  </si>
  <si>
    <t>Capital Own</t>
  </si>
  <si>
    <t>Charts</t>
  </si>
  <si>
    <t>Evidence behind the main assumptions (gathered October 2026). Estimates without a public source are flagged as judgement in the notes columns.</t>
  </si>
  <si>
    <t>Topic</t>
  </si>
  <si>
    <t>What was used</t>
  </si>
  <si>
    <t>Source</t>
  </si>
  <si>
    <t>Rents, Prahladnagar</t>
  </si>
  <si>
    <t>99acres / MagicBricks / housing.com listings, Oct 2026: ₹55-120 per sqft per month (Titanium Heights, Corporate Road)</t>
  </si>
  <si>
    <t>https://www.99acres.com</t>
  </si>
  <si>
    <t>Rents, Sindhu Bhavan Road</t>
  </si>
  <si>
    <t>99acres F&amp;B shop 495 sqft ₹1.08 lakh (~₹218/sqft); otloo Time Square-2 2,651 sqft ₹2.25 lakh</t>
  </si>
  <si>
    <t>Purchase prices</t>
  </si>
  <si>
    <t>MagicBricks: SBR showroom ₹19,500/sqft; Prahladnagar ₹5,560-9,626/sqft (offices)</t>
  </si>
  <si>
    <t>https://www.magicbricks.com</t>
  </si>
  <si>
    <t>99acres coffee shop ₹1 lakh/month; GIFT City RFPs for café/food zone (2026)</t>
  </si>
  <si>
    <t>https://www.giftgujarat.in</t>
  </si>
  <si>
    <t>Micron Sanand ATMP opened 28 Feb 2026 (~US$2.75 bn); 6 ISM projects in Gujarat, ~50,000 jobs (ET, Aug 2026)</t>
  </si>
  <si>
    <t>https://investors.micron.com</t>
  </si>
  <si>
    <t>Espresso machines</t>
  </si>
  <si>
    <t>West End Coffee price comparison: La Marzocco Linea PB 2GR ₹11.26 lakh + GST</t>
  </si>
  <si>
    <t>https://westendcoffee.co</t>
  </si>
  <si>
    <t>Roasters</t>
  </si>
  <si>
    <t>Aaroasta (Rajkot) drum roasters 0.5-50 kg</t>
  </si>
  <si>
    <t>https://aaroasta.com</t>
  </si>
  <si>
    <t>Torrent Power Ahmedabad tariff FY2026-27, non-RGP commercial 455 paise/unit + charges</t>
  </si>
  <si>
    <t>https://www.torrentpower.com</t>
  </si>
  <si>
    <t>Wages</t>
  </si>
  <si>
    <t>Gujarat minimum wages from 1 Apr 2026; Indeed/ERI barista pay in Ahmedabad</t>
  </si>
  <si>
    <t>https://in.indeed.com</t>
  </si>
  <si>
    <t>Risk-free rate &amp; policy rate</t>
  </si>
  <si>
    <t>India 10-yr G-sec 7.29% (8 Oct 2026); RBI repo 5.50%</t>
  </si>
  <si>
    <t>https://tradingeconomics.com/india/government-bond-yield</t>
  </si>
  <si>
    <t>Damodaran, Country risk premiums, Jan 2026 (India: ERP 7.08%, CRP 2.85%)</t>
  </si>
  <si>
    <t>https://pages.stern.nyu.edu/~adamodar/</t>
  </si>
  <si>
    <t>Café benchmarks</t>
  </si>
  <si>
    <t>Industry cost ratios: COGS 25-35%, rent 8-15%, labour, marketing; NRAI India Food Services Report</t>
  </si>
  <si>
    <t>https://nrai.org</t>
  </si>
  <si>
    <t>Chain economics</t>
  </si>
  <si>
    <t>Tata Starbucks FY25 revenue ₹1,277 cr (~₹2.7 cr per store); Blue Tokai, Third Wave filings</t>
  </si>
  <si>
    <t>https://www.worldcoffeeportal.com</t>
  </si>
  <si>
    <t>Aggregator fees</t>
  </si>
  <si>
    <t>Swiggy/Zomato effective commission ~24-30% incl. GST &amp; discounts (2026 reports)</t>
  </si>
  <si>
    <t>Coffee prices</t>
  </si>
  <si>
    <t>Coffee Board of India; USDA FAS India Coffee Annual (May 2026); ICE Coffee C ~285 c/lb (9 Oct 2026)</t>
  </si>
  <si>
    <t>https://www.fas.usda.gov</t>
  </si>
  <si>
    <t>Income-tax Act s.115BAA (25.168%), depreciation block rates (Appendix I)</t>
  </si>
  <si>
    <t>https://incometaxindia.gov.in</t>
  </si>
</sst>
</file>

<file path=xl/styles.xml><?xml version="1.0" encoding="utf-8"?>
<styleSheet xmlns="http://schemas.openxmlformats.org/spreadsheetml/2006/main">
  <numFmts count="10">
    <numFmt numFmtId="164" formatCode="_(#,##0.0_);\(#,##0.0\);_(&quot;–&quot;_);_(@_)"/>
    <numFmt numFmtId="165" formatCode="[&gt;=99]&quot;&gt;10 yrs&quot;;0.0&quot; yrs&quot;"/>
    <numFmt numFmtId="166" formatCode="_(#,##0.0%_);\(#,##0.0%\);_(&quot;–&quot;_)_%;_(@_)_%"/>
    <numFmt numFmtId="167" formatCode="_(#,##0_);\(#,##0\);_(&quot;–&quot;_);_(@_)"/>
    <numFmt numFmtId="168" formatCode="_(0.00&quot;x&quot;_);\(0.00&quot;x&quot;\);_(&quot;–&quot;_);_(@_)"/>
    <numFmt numFmtId="169" formatCode="&quot;FY&quot;0"/>
    <numFmt numFmtId="170" formatCode="&quot;Y&quot;0"/>
    <numFmt numFmtId="171" formatCode="_(#,##0.00%_);\(#,##0.00%\);_(&quot;–&quot;_)_%;_(@_)_%"/>
    <numFmt numFmtId="172" formatCode="_(0.000_);\(0.000\);_(&quot;–&quot;_);_(@_)"/>
    <numFmt numFmtId="173" formatCode="_(#,##0.00_);\(#,##0.00\);_(&quot;–&quot;_);_(@_)"/>
  </numFmts>
  <fonts count="19">
    <font>
      <sz val="11"/>
      <color theme="1"/>
      <name val="Calibri"/>
      <family val="2"/>
      <scheme val="minor"/>
    </font>
    <font>
      <b/>
      <sz val="20"/>
      <color rgb="FF4E342E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rgb="FF9C4A1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2A62C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803C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A62C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4E342E"/>
      <name val="Calibri"/>
      <family val="2"/>
      <scheme val="minor"/>
    </font>
    <font>
      <sz val="10"/>
      <color rgb="FF00803C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10"/>
      <color rgb="FF2A62C9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803C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E342E"/>
        <bgColor indexed="64"/>
      </patternFill>
    </fill>
    <fill>
      <patternFill patternType="solid">
        <fgColor rgb="FFFFF6DA"/>
        <bgColor indexed="64"/>
      </patternFill>
    </fill>
    <fill>
      <patternFill patternType="solid">
        <fgColor rgb="FFF6F1EB"/>
        <bgColor indexed="64"/>
      </patternFill>
    </fill>
    <fill>
      <patternFill patternType="solid">
        <fgColor rgb="FFEFE6DD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1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164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0" fontId="9" fillId="4" borderId="2" xfId="0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vertical="center"/>
    </xf>
    <xf numFmtId="169" fontId="8" fillId="4" borderId="2" xfId="0" applyNumberFormat="1" applyFont="1" applyFill="1" applyBorder="1" applyAlignment="1">
      <alignment horizontal="right" vertical="center"/>
    </xf>
    <xf numFmtId="167" fontId="13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1"/>
    </xf>
    <xf numFmtId="165" fontId="13" fillId="0" borderId="0" xfId="0" applyNumberFormat="1" applyFont="1" applyAlignment="1">
      <alignment vertical="center"/>
    </xf>
    <xf numFmtId="0" fontId="14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right" vertical="center"/>
    </xf>
    <xf numFmtId="164" fontId="11" fillId="4" borderId="2" xfId="0" applyNumberFormat="1" applyFont="1" applyFill="1" applyBorder="1" applyAlignment="1">
      <alignment vertical="center"/>
    </xf>
    <xf numFmtId="169" fontId="9" fillId="4" borderId="2" xfId="0" applyNumberFormat="1" applyFont="1" applyFill="1" applyBorder="1" applyAlignment="1">
      <alignment horizontal="right" vertical="center"/>
    </xf>
    <xf numFmtId="170" fontId="2" fillId="0" borderId="0" xfId="0" applyNumberFormat="1" applyFont="1" applyAlignment="1">
      <alignment horizontal="right" vertical="center"/>
    </xf>
    <xf numFmtId="0" fontId="11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" fontId="15" fillId="3" borderId="0" xfId="0" applyNumberFormat="1" applyFont="1" applyFill="1" applyAlignment="1">
      <alignment vertical="center"/>
    </xf>
    <xf numFmtId="167" fontId="15" fillId="3" borderId="0" xfId="0" applyNumberFormat="1" applyFont="1" applyFill="1" applyAlignment="1">
      <alignment vertical="center"/>
    </xf>
    <xf numFmtId="171" fontId="15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166" fontId="15" fillId="3" borderId="0" xfId="0" applyNumberFormat="1" applyFont="1" applyFill="1" applyAlignment="1">
      <alignment vertical="center"/>
    </xf>
    <xf numFmtId="166" fontId="11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72" fontId="5" fillId="0" borderId="0" xfId="0" applyNumberFormat="1" applyFont="1" applyAlignment="1">
      <alignment vertical="center"/>
    </xf>
    <xf numFmtId="172" fontId="15" fillId="3" borderId="0" xfId="0" applyNumberFormat="1" applyFont="1" applyFill="1" applyAlignment="1">
      <alignment vertical="center"/>
    </xf>
    <xf numFmtId="172" fontId="11" fillId="0" borderId="0" xfId="0" applyNumberFormat="1" applyFont="1" applyAlignment="1">
      <alignment vertical="center"/>
    </xf>
    <xf numFmtId="172" fontId="9" fillId="0" borderId="0" xfId="0" applyNumberFormat="1" applyFont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168" fontId="9" fillId="0" borderId="0" xfId="0" applyNumberFormat="1" applyFont="1" applyAlignment="1">
      <alignment vertical="center"/>
    </xf>
    <xf numFmtId="168" fontId="15" fillId="3" borderId="0" xfId="0" applyNumberFormat="1" applyFont="1" applyFill="1" applyAlignment="1">
      <alignment vertical="center"/>
    </xf>
    <xf numFmtId="167" fontId="9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73" fontId="13" fillId="0" borderId="0" xfId="0" applyNumberFormat="1" applyFont="1" applyAlignment="1">
      <alignment vertical="center"/>
    </xf>
    <xf numFmtId="1" fontId="15" fillId="3" borderId="0" xfId="0" applyNumberFormat="1" applyFont="1" applyFill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173" fontId="15" fillId="3" borderId="0" xfId="0" applyNumberFormat="1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67" fontId="8" fillId="6" borderId="0" xfId="0" applyNumberFormat="1" applyFont="1" applyFill="1" applyAlignment="1">
      <alignment vertical="center"/>
    </xf>
    <xf numFmtId="166" fontId="8" fillId="6" borderId="0" xfId="0" applyNumberFormat="1" applyFont="1" applyFill="1" applyAlignment="1">
      <alignment vertical="center"/>
    </xf>
    <xf numFmtId="168" fontId="8" fillId="6" borderId="0" xfId="0" applyNumberFormat="1" applyFont="1" applyFill="1" applyAlignment="1">
      <alignment vertical="center"/>
    </xf>
    <xf numFmtId="167" fontId="9" fillId="6" borderId="0" xfId="0" applyNumberFormat="1" applyFont="1" applyFill="1" applyAlignment="1">
      <alignment vertical="center"/>
    </xf>
    <xf numFmtId="164" fontId="7" fillId="0" borderId="0" xfId="0" applyNumberFormat="1" applyFont="1" applyAlignment="1">
      <alignment vertical="center"/>
    </xf>
    <xf numFmtId="164" fontId="9" fillId="6" borderId="0" xfId="0" applyNumberFormat="1" applyFont="1" applyFill="1" applyAlignment="1">
      <alignment vertical="center"/>
    </xf>
    <xf numFmtId="166" fontId="9" fillId="6" borderId="0" xfId="0" applyNumberFormat="1" applyFont="1" applyFill="1" applyAlignment="1">
      <alignment vertical="center"/>
    </xf>
    <xf numFmtId="0" fontId="9" fillId="0" borderId="0" xfId="0" applyFont="1" applyAlignment="1">
      <alignment vertical="top" indent="1"/>
    </xf>
    <xf numFmtId="0" fontId="7" fillId="0" borderId="0" xfId="0" applyFont="1" applyAlignment="1">
      <alignment vertical="top" wrapText="1"/>
    </xf>
    <xf numFmtId="166" fontId="13" fillId="6" borderId="0" xfId="0" applyNumberFormat="1" applyFont="1" applyFill="1" applyAlignment="1">
      <alignment vertical="center"/>
    </xf>
    <xf numFmtId="0" fontId="7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66" fontId="13" fillId="6" borderId="1" xfId="0" applyNumberFormat="1" applyFont="1" applyFill="1" applyBorder="1" applyAlignment="1">
      <alignment vertical="center"/>
    </xf>
    <xf numFmtId="167" fontId="13" fillId="6" borderId="0" xfId="0" applyNumberFormat="1" applyFont="1" applyFill="1" applyAlignment="1">
      <alignment vertical="center"/>
    </xf>
    <xf numFmtId="167" fontId="9" fillId="0" borderId="1" xfId="0" applyNumberFormat="1" applyFont="1" applyBorder="1" applyAlignment="1">
      <alignment vertical="center"/>
    </xf>
    <xf numFmtId="167" fontId="8" fillId="6" borderId="1" xfId="0" applyNumberFormat="1" applyFont="1" applyFill="1" applyBorder="1" applyAlignment="1">
      <alignment vertical="center"/>
    </xf>
    <xf numFmtId="164" fontId="13" fillId="6" borderId="0" xfId="0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72" fontId="13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1"/>
    </xf>
    <xf numFmtId="166" fontId="17" fillId="0" borderId="0" xfId="0" applyNumberFormat="1" applyFont="1" applyAlignment="1">
      <alignment vertical="center"/>
    </xf>
    <xf numFmtId="166" fontId="16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center"/>
    </xf>
    <xf numFmtId="172" fontId="7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164" fontId="7" fillId="0" borderId="1" xfId="0" applyNumberFormat="1" applyFont="1" applyBorder="1" applyAlignment="1">
      <alignment vertical="center"/>
    </xf>
    <xf numFmtId="168" fontId="17" fillId="0" borderId="0" xfId="0" applyNumberFormat="1" applyFont="1" applyAlignment="1">
      <alignment vertical="center"/>
    </xf>
    <xf numFmtId="168" fontId="16" fillId="0" borderId="0" xfId="0" applyNumberFormat="1" applyFont="1" applyAlignment="1">
      <alignment vertical="center"/>
    </xf>
    <xf numFmtId="173" fontId="7" fillId="0" borderId="0" xfId="0" applyNumberFormat="1" applyFont="1" applyAlignment="1">
      <alignment vertical="center"/>
    </xf>
    <xf numFmtId="171" fontId="13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71" fontId="9" fillId="0" borderId="0" xfId="0" applyNumberFormat="1" applyFont="1" applyAlignment="1">
      <alignment vertical="center"/>
    </xf>
    <xf numFmtId="171" fontId="7" fillId="0" borderId="0" xfId="0" applyNumberFormat="1" applyFont="1" applyAlignment="1">
      <alignment vertical="center"/>
    </xf>
    <xf numFmtId="171" fontId="8" fillId="0" borderId="0" xfId="0" applyNumberFormat="1" applyFont="1" applyAlignment="1">
      <alignment vertical="center"/>
    </xf>
    <xf numFmtId="173" fontId="17" fillId="0" borderId="0" xfId="0" applyNumberFormat="1" applyFont="1" applyAlignment="1">
      <alignment vertical="center"/>
    </xf>
    <xf numFmtId="173" fontId="16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  <xf numFmtId="168" fontId="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b/>
        <color rgb="FF1E6B2D"/>
      </font>
      <fill>
        <patternFill>
          <bgColor rgb="FFD8F0DC"/>
        </patternFill>
      </fill>
    </dxf>
    <dxf>
      <font>
        <b/>
        <color rgb="FF8A5A00"/>
      </font>
      <fill>
        <patternFill>
          <bgColor rgb="FFFFF1CC"/>
        </patternFill>
      </fill>
    </dxf>
    <dxf>
      <font>
        <b/>
        <color rgb="FF9C1C1C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Revenue, EBITDA (₹ lakh) and EBITDA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C68B59"/>
            </a:solidFill>
          </c:spPr>
          <c:cat>
            <c:numRef>
              <c:f>Model!$G$5:$P$5</c:f>
              <c:numCache>
                <c:formatCode>General</c:formatCode>
                <c:ptCount val="10"/>
                <c:pt idx="0">
                  <c:v>2028.0</c:v>
                </c:pt>
                <c:pt idx="1">
                  <c:v>2029.0</c:v>
                </c:pt>
                <c:pt idx="2">
                  <c:v>2030.0</c:v>
                </c:pt>
                <c:pt idx="3">
                  <c:v>2031.0</c:v>
                </c:pt>
                <c:pt idx="4">
                  <c:v>2032.0</c:v>
                </c:pt>
                <c:pt idx="5">
                  <c:v>2033.0</c:v>
                </c:pt>
                <c:pt idx="6">
                  <c:v>2034.0</c:v>
                </c:pt>
                <c:pt idx="7">
                  <c:v>2035.0</c:v>
                </c:pt>
                <c:pt idx="8">
                  <c:v>2036.0</c:v>
                </c:pt>
                <c:pt idx="9">
                  <c:v>2037.0</c:v>
                </c:pt>
              </c:numCache>
            </c:numRef>
          </c:cat>
          <c:val>
            <c:numRef>
              <c:f>Model!$G$16:$P$16</c:f>
              <c:numCache>
                <c:formatCode>General</c:formatCode>
                <c:ptCount val="10"/>
                <c:pt idx="0">
                  <c:v>104.832</c:v>
                </c:pt>
                <c:pt idx="1">
                  <c:v>143.9424</c:v>
                </c:pt>
                <c:pt idx="2">
                  <c:v>177.8112</c:v>
                </c:pt>
                <c:pt idx="3">
                  <c:v>191.36930400000003</c:v>
                </c:pt>
                <c:pt idx="4">
                  <c:v>205.96121343</c:v>
                </c:pt>
                <c:pt idx="5">
                  <c:v>221.6657559540375</c:v>
                </c:pt>
                <c:pt idx="6">
                  <c:v>238.5677698455329</c:v>
                </c:pt>
                <c:pt idx="7">
                  <c:v>256.75856229625475</c:v>
                </c:pt>
                <c:pt idx="8">
                  <c:v>276.3364026713441</c:v>
                </c:pt>
                <c:pt idx="9">
                  <c:v>297.40705337503414</c:v>
                </c:pt>
              </c:numCache>
            </c:numRef>
          </c:val>
        </c:ser>
        <c:ser>
          <c:idx val="1"/>
          <c:order val="1"/>
          <c:tx>
            <c:v>EBITDA</c:v>
          </c:tx>
          <c:spPr>
            <a:solidFill>
              <a:srgbClr val="4E342E"/>
            </a:solidFill>
          </c:spPr>
          <c:cat>
            <c:numRef>
              <c:f>Model!$G$5:$P$5</c:f>
              <c:numCache>
                <c:formatCode>General</c:formatCode>
                <c:ptCount val="10"/>
                <c:pt idx="0">
                  <c:v>2028.0</c:v>
                </c:pt>
                <c:pt idx="1">
                  <c:v>2029.0</c:v>
                </c:pt>
                <c:pt idx="2">
                  <c:v>2030.0</c:v>
                </c:pt>
                <c:pt idx="3">
                  <c:v>2031.0</c:v>
                </c:pt>
                <c:pt idx="4">
                  <c:v>2032.0</c:v>
                </c:pt>
                <c:pt idx="5">
                  <c:v>2033.0</c:v>
                </c:pt>
                <c:pt idx="6">
                  <c:v>2034.0</c:v>
                </c:pt>
                <c:pt idx="7">
                  <c:v>2035.0</c:v>
                </c:pt>
                <c:pt idx="8">
                  <c:v>2036.0</c:v>
                </c:pt>
                <c:pt idx="9">
                  <c:v>2037.0</c:v>
                </c:pt>
              </c:numCache>
            </c:numRef>
          </c:cat>
          <c:val>
            <c:numRef>
              <c:f>Model!$G$29:$P$29</c:f>
              <c:numCache>
                <c:formatCode>General</c:formatCode>
                <c:ptCount val="10"/>
                <c:pt idx="0">
                  <c:v>-3.7220470312727336</c:v>
                </c:pt>
                <c:pt idx="1">
                  <c:v>17.70190629745455</c:v>
                </c:pt>
                <c:pt idx="2">
                  <c:v>33.68388291191275</c:v>
                </c:pt>
                <c:pt idx="3">
                  <c:v>36.55568508232548</c:v>
                </c:pt>
                <c:pt idx="4">
                  <c:v>39.617940454950634</c:v>
                </c:pt>
                <c:pt idx="5">
                  <c:v>42.879726237969166</c:v>
                </c:pt>
                <c:pt idx="6">
                  <c:v>46.35007091305692</c:v>
                </c:pt>
                <c:pt idx="7">
                  <c:v>50.037862737615576</c:v>
                </c:pt>
                <c:pt idx="8">
                  <c:v>53.950164341321646</c:v>
                </c:pt>
                <c:pt idx="9">
                  <c:v>58.09512143707456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2"/>
          <c:order val="2"/>
          <c:tx>
            <c:v>EBITDA margin</c:v>
          </c:tx>
          <c:spPr>
            <a:ln w="28575">
              <a:solidFill>
                <a:srgbClr val="2E8B57"/>
              </a:solidFill>
            </a:ln>
          </c:spPr>
          <c:marker>
            <c:symbol val="circle"/>
          </c:marker>
          <c:cat>
            <c:numRef>
              <c:f>Model!$G$5:$P$5</c:f>
              <c:numCache>
                <c:formatCode>General</c:formatCode>
                <c:ptCount val="10"/>
                <c:pt idx="0">
                  <c:v>2028.0</c:v>
                </c:pt>
                <c:pt idx="1">
                  <c:v>2029.0</c:v>
                </c:pt>
                <c:pt idx="2">
                  <c:v>2030.0</c:v>
                </c:pt>
                <c:pt idx="3">
                  <c:v>2031.0</c:v>
                </c:pt>
                <c:pt idx="4">
                  <c:v>2032.0</c:v>
                </c:pt>
                <c:pt idx="5">
                  <c:v>2033.0</c:v>
                </c:pt>
                <c:pt idx="6">
                  <c:v>2034.0</c:v>
                </c:pt>
                <c:pt idx="7">
                  <c:v>2035.0</c:v>
                </c:pt>
                <c:pt idx="8">
                  <c:v>2036.0</c:v>
                </c:pt>
                <c:pt idx="9">
                  <c:v>2037.0</c:v>
                </c:pt>
              </c:numCache>
            </c:numRef>
          </c:cat>
          <c:val>
            <c:numRef>
              <c:f>Model!$G$30:$P$30</c:f>
              <c:numCache>
                <c:formatCode>General</c:formatCode>
                <c:ptCount val="10"/>
                <c:pt idx="0">
                  <c:v>-0.035504874764124825</c:v>
                </c:pt>
                <c:pt idx="1">
                  <c:v>0.12297909648202719</c:v>
                </c:pt>
                <c:pt idx="2">
                  <c:v>0.18943622736876387</c:v>
                </c:pt>
                <c:pt idx="3">
                  <c:v>0.19102167546329937</c:v>
                </c:pt>
                <c:pt idx="4">
                  <c:v>0.1923563169742908</c:v>
                </c:pt>
                <c:pt idx="5">
                  <c:v>0.19344316876288414</c:v>
                </c:pt>
                <c:pt idx="6">
                  <c:v>0.19428471391197358</c:v>
                </c:pt>
                <c:pt idx="7">
                  <c:v>0.19488293706786136</c:v>
                </c:pt>
                <c:pt idx="8">
                  <c:v>0.19523364934835</c:v>
                </c:pt>
                <c:pt idx="9">
                  <c:v>0.19533874794763478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0%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Free cash flow to firm (₹ lakh)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FCFF</c:v>
          </c:tx>
          <c:spPr>
            <a:solidFill>
              <a:srgbClr val="C68B59"/>
            </a:solidFill>
          </c:spPr>
          <c:cat>
            <c:numRef>
              <c:f>DCF!$F$5:$P$5</c:f>
              <c:numCache>
                <c:formatCode>General</c:formatCode>
                <c:ptCount val="11"/>
                <c:pt idx="0">
                  <c:v>2027.0</c:v>
                </c:pt>
                <c:pt idx="1">
                  <c:v>2028.0</c:v>
                </c:pt>
                <c:pt idx="2">
                  <c:v>2029.0</c:v>
                </c:pt>
                <c:pt idx="3">
                  <c:v>2030.0</c:v>
                </c:pt>
                <c:pt idx="4">
                  <c:v>2031.0</c:v>
                </c:pt>
                <c:pt idx="5">
                  <c:v>2032.0</c:v>
                </c:pt>
                <c:pt idx="6">
                  <c:v>2033.0</c:v>
                </c:pt>
                <c:pt idx="7">
                  <c:v>2034.0</c:v>
                </c:pt>
                <c:pt idx="8">
                  <c:v>2035.0</c:v>
                </c:pt>
                <c:pt idx="9">
                  <c:v>2036.0</c:v>
                </c:pt>
                <c:pt idx="10">
                  <c:v>2037.0</c:v>
                </c:pt>
              </c:numCache>
            </c:numRef>
          </c:cat>
          <c:val>
            <c:numRef>
              <c:f>DCF!$F$24:$P$24</c:f>
              <c:numCache>
                <c:formatCode>General</c:formatCode>
                <c:ptCount val="11"/>
                <c:pt idx="0">
                  <c:v>-82.1195</c:v>
                </c:pt>
                <c:pt idx="1">
                  <c:v>-6.501346603277715</c:v>
                </c:pt>
                <c:pt idx="2">
                  <c:v>15.108369156682445</c:v>
                </c:pt>
                <c:pt idx="3">
                  <c:v>27.336693507011745</c:v>
                </c:pt>
                <c:pt idx="4">
                  <c:v>25.96708587208386</c:v>
                </c:pt>
                <c:pt idx="5">
                  <c:v>27.923706909561485</c:v>
                </c:pt>
                <c:pt idx="6">
                  <c:v>18.76337758582732</c:v>
                </c:pt>
                <c:pt idx="7">
                  <c:v>32.71158013521432</c:v>
                </c:pt>
                <c:pt idx="8">
                  <c:v>35.08443386880369</c:v>
                </c:pt>
                <c:pt idx="9">
                  <c:v>37.62826950908635</c:v>
                </c:pt>
                <c:pt idx="10">
                  <c:v>40.34465491214222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Cumulative FCFF</c:v>
          </c:tx>
          <c:spPr>
            <a:ln w="28575">
              <a:solidFill>
                <a:srgbClr val="4E342E"/>
              </a:solidFill>
            </a:ln>
          </c:spPr>
          <c:marker>
            <c:symbol val="none"/>
          </c:marker>
          <c:cat>
            <c:numRef>
              <c:f>DCF!$F$5:$P$5</c:f>
              <c:numCache>
                <c:formatCode>General</c:formatCode>
                <c:ptCount val="11"/>
                <c:pt idx="0">
                  <c:v>2027.0</c:v>
                </c:pt>
                <c:pt idx="1">
                  <c:v>2028.0</c:v>
                </c:pt>
                <c:pt idx="2">
                  <c:v>2029.0</c:v>
                </c:pt>
                <c:pt idx="3">
                  <c:v>2030.0</c:v>
                </c:pt>
                <c:pt idx="4">
                  <c:v>2031.0</c:v>
                </c:pt>
                <c:pt idx="5">
                  <c:v>2032.0</c:v>
                </c:pt>
                <c:pt idx="6">
                  <c:v>2033.0</c:v>
                </c:pt>
                <c:pt idx="7">
                  <c:v>2034.0</c:v>
                </c:pt>
                <c:pt idx="8">
                  <c:v>2035.0</c:v>
                </c:pt>
                <c:pt idx="9">
                  <c:v>2036.0</c:v>
                </c:pt>
                <c:pt idx="10">
                  <c:v>2037.0</c:v>
                </c:pt>
              </c:numCache>
            </c:numRef>
          </c:cat>
          <c:val>
            <c:numRef>
              <c:f>DCF!$F$72:$P$72</c:f>
              <c:numCache>
                <c:formatCode>General</c:formatCode>
                <c:ptCount val="11"/>
                <c:pt idx="0">
                  <c:v>-82.1195</c:v>
                </c:pt>
                <c:pt idx="1">
                  <c:v>-88.62084660327771</c:v>
                </c:pt>
                <c:pt idx="2">
                  <c:v>-73.51247744659527</c:v>
                </c:pt>
                <c:pt idx="3">
                  <c:v>-46.175783939583525</c:v>
                </c:pt>
                <c:pt idx="4">
                  <c:v>-20.208698067499665</c:v>
                </c:pt>
                <c:pt idx="5">
                  <c:v>7.71500884206182</c:v>
                </c:pt>
                <c:pt idx="6">
                  <c:v>26.47838642788914</c:v>
                </c:pt>
                <c:pt idx="7">
                  <c:v>59.18996656310346</c:v>
                </c:pt>
                <c:pt idx="8">
                  <c:v>94.27440043190715</c:v>
                </c:pt>
                <c:pt idx="9">
                  <c:v>131.90266994099352</c:v>
                </c:pt>
                <c:pt idx="10">
                  <c:v>172.24732485313575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Tornado: change in NPV vs base (₹ lakh)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Low</c:v>
          </c:tx>
          <c:spPr>
            <a:solidFill>
              <a:srgbClr val="B5523B"/>
            </a:solidFill>
          </c:spPr>
          <c:cat>
            <c:strRef>
              <c:f>Scenarios!$B$217:$B$224</c:f>
              <c:strCache>
                <c:ptCount val="8"/>
                <c:pt idx="0">
                  <c:v>Bills per day</c:v>
                </c:pt>
                <c:pt idx="1">
                  <c:v>Average bill value</c:v>
                </c:pt>
                <c:pt idx="2">
                  <c:v>Rent</c:v>
                </c:pt>
                <c:pt idx="3">
                  <c:v>Green-coffee price</c:v>
                </c:pt>
                <c:pt idx="4">
                  <c:v>Capex</c:v>
                </c:pt>
                <c:pt idx="5">
                  <c:v>Staff cost</c:v>
                </c:pt>
                <c:pt idx="6">
                  <c:v>WACC (+/- pp)</c:v>
                </c:pt>
                <c:pt idx="7">
                  <c:v>Terminal growth (abs.)</c:v>
                </c:pt>
              </c:strCache>
            </c:strRef>
          </c:cat>
          <c:val>
            <c:numRef>
              <c:f>Scenarios!$G$217:$G$224</c:f>
              <c:numCache>
                <c:formatCode>General</c:formatCode>
                <c:ptCount val="8"/>
                <c:pt idx="0">
                  <c:v>-89.5981067034728</c:v>
                </c:pt>
                <c:pt idx="1">
                  <c:v>-89.5981067034728</c:v>
                </c:pt>
                <c:pt idx="2">
                  <c:v>-89.5981067034728</c:v>
                </c:pt>
                <c:pt idx="3">
                  <c:v>-89.5981067034728</c:v>
                </c:pt>
                <c:pt idx="4">
                  <c:v>-89.5981067034728</c:v>
                </c:pt>
                <c:pt idx="5">
                  <c:v>-89.5981067034728</c:v>
                </c:pt>
                <c:pt idx="6">
                  <c:v>-89.5981067034728</c:v>
                </c:pt>
                <c:pt idx="7">
                  <c:v>-89.5981067034728</c:v>
                </c:pt>
              </c:numCache>
            </c:numRef>
          </c:val>
        </c:ser>
        <c:ser>
          <c:idx val="1"/>
          <c:order val="1"/>
          <c:tx>
            <c:v>High</c:v>
          </c:tx>
          <c:spPr>
            <a:solidFill>
              <a:srgbClr val="2E8B57"/>
            </a:solidFill>
          </c:spPr>
          <c:cat>
            <c:strRef>
              <c:f>Scenarios!$B$217:$B$224</c:f>
              <c:strCache>
                <c:ptCount val="8"/>
                <c:pt idx="0">
                  <c:v>Bills per day</c:v>
                </c:pt>
                <c:pt idx="1">
                  <c:v>Average bill value</c:v>
                </c:pt>
                <c:pt idx="2">
                  <c:v>Rent</c:v>
                </c:pt>
                <c:pt idx="3">
                  <c:v>Green-coffee price</c:v>
                </c:pt>
                <c:pt idx="4">
                  <c:v>Capex</c:v>
                </c:pt>
                <c:pt idx="5">
                  <c:v>Staff cost</c:v>
                </c:pt>
                <c:pt idx="6">
                  <c:v>WACC (+/- pp)</c:v>
                </c:pt>
                <c:pt idx="7">
                  <c:v>Terminal growth (abs.)</c:v>
                </c:pt>
              </c:strCache>
            </c:strRef>
          </c:cat>
          <c:val>
            <c:numRef>
              <c:f>Scenarios!$H$217:$H$224</c:f>
              <c:numCache>
                <c:formatCode>General</c:formatCode>
                <c:ptCount val="8"/>
                <c:pt idx="0">
                  <c:v>-89.5981067034728</c:v>
                </c:pt>
                <c:pt idx="1">
                  <c:v>-89.5981067034728</c:v>
                </c:pt>
                <c:pt idx="2">
                  <c:v>-89.5981067034728</c:v>
                </c:pt>
                <c:pt idx="3">
                  <c:v>-89.5981067034728</c:v>
                </c:pt>
                <c:pt idx="4">
                  <c:v>-89.5981067034728</c:v>
                </c:pt>
                <c:pt idx="5">
                  <c:v>-89.5981067034728</c:v>
                </c:pt>
                <c:pt idx="6">
                  <c:v>-89.5981067034728</c:v>
                </c:pt>
                <c:pt idx="7">
                  <c:v>-89.5981067034728</c:v>
                </c:pt>
              </c:numCache>
            </c:numRef>
          </c:val>
        </c:ser>
        <c:gapWidth val="40"/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Project NPV by configuration (₹ lakh)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NPV</c:v>
          </c:tx>
          <c:spPr>
            <a:solidFill>
              <a:srgbClr val="C68B59"/>
            </a:solidFill>
          </c:spPr>
          <c:cat>
            <c:strRef>
              <c:f>Scenarios!$B$100:$B$119</c:f>
              <c:strCache>
                <c:ptCount val="20"/>
                <c:pt idx="0">
                  <c:v>PN-R-Buy</c:v>
                </c:pt>
                <c:pt idx="1">
                  <c:v>PN-R-Toll</c:v>
                </c:pt>
                <c:pt idx="2">
                  <c:v>PN-R-InH</c:v>
                </c:pt>
                <c:pt idx="3">
                  <c:v>PN-O-Toll</c:v>
                </c:pt>
                <c:pt idx="4">
                  <c:v>PN-R-Toll-Val</c:v>
                </c:pt>
                <c:pt idx="5">
                  <c:v>PN-R-Toll-Prm</c:v>
                </c:pt>
                <c:pt idx="6">
                  <c:v>PN-R-Toll-Cus</c:v>
                </c:pt>
                <c:pt idx="7">
                  <c:v>SBR-R-Buy</c:v>
                </c:pt>
                <c:pt idx="8">
                  <c:v>SBR-R-Toll</c:v>
                </c:pt>
                <c:pt idx="9">
                  <c:v>SBR-R-InH</c:v>
                </c:pt>
                <c:pt idx="10">
                  <c:v>SBR-O-Toll</c:v>
                </c:pt>
                <c:pt idx="11">
                  <c:v>SBR-R-Toll-Cus</c:v>
                </c:pt>
                <c:pt idx="12">
                  <c:v>GIFT-R-Buy</c:v>
                </c:pt>
                <c:pt idx="13">
                  <c:v>GIFT-R-Toll</c:v>
                </c:pt>
                <c:pt idx="14">
                  <c:v>GIFT-R-InH</c:v>
                </c:pt>
                <c:pt idx="15">
                  <c:v>GIFT-O-Toll</c:v>
                </c:pt>
                <c:pt idx="16">
                  <c:v>GIFT-R-Toll-Cus</c:v>
                </c:pt>
                <c:pt idx="17">
                  <c:v>SAN-R-Toll</c:v>
                </c:pt>
                <c:pt idx="18">
                  <c:v>SAN-R-InH</c:v>
                </c:pt>
                <c:pt idx="19">
                  <c:v>SAN-O-Toll</c:v>
                </c:pt>
              </c:strCache>
            </c:strRef>
          </c:cat>
          <c:val>
            <c:numRef>
              <c:f>Scenarios!$D$100:$D$119</c:f>
              <c:numCache>
                <c:formatCode>General</c:formatCode>
                <c:ptCount val="20"/>
                <c:pt idx="0">
                  <c:v>64.41763386403566</c:v>
                </c:pt>
                <c:pt idx="1">
                  <c:v>89.59810670347279</c:v>
                </c:pt>
                <c:pt idx="2">
                  <c:v>39.97744078726686</c:v>
                </c:pt>
                <c:pt idx="3">
                  <c:v>84.79579931172951</c:v>
                </c:pt>
                <c:pt idx="4">
                  <c:v>53.56540103854564</c:v>
                </c:pt>
                <c:pt idx="5">
                  <c:v>80.62891035897189</c:v>
                </c:pt>
                <c:pt idx="6">
                  <c:v>99.82774759484747</c:v>
                </c:pt>
                <c:pt idx="7">
                  <c:v>158.0588248280302</c:v>
                </c:pt>
                <c:pt idx="8">
                  <c:v>192.743673477814</c:v>
                </c:pt>
                <c:pt idx="9">
                  <c:v>140.0069041630407</c:v>
                </c:pt>
                <c:pt idx="10">
                  <c:v>223.5142806179558</c:v>
                </c:pt>
                <c:pt idx="11">
                  <c:v>207.1677375193104</c:v>
                </c:pt>
                <c:pt idx="12">
                  <c:v>122.0897692689377</c:v>
                </c:pt>
                <c:pt idx="13">
                  <c:v>148.34342206592</c:v>
                </c:pt>
                <c:pt idx="14">
                  <c:v>98.69281569195653</c:v>
                </c:pt>
                <c:pt idx="15">
                  <c:v>184.8917097107206</c:v>
                </c:pt>
                <c:pt idx="16">
                  <c:v>159.4996536006258</c:v>
                </c:pt>
                <c:pt idx="17">
                  <c:v>-10.18167885613484</c:v>
                </c:pt>
                <c:pt idx="18">
                  <c:v>-56.12567210240221</c:v>
                </c:pt>
                <c:pt idx="19">
                  <c:v>-6.792522846602068</c:v>
                </c:pt>
              </c:numCache>
            </c:numRef>
          </c:val>
        </c:ser>
        <c:gapWidth val="4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0</xdr:rowOff>
    </xdr:from>
    <xdr:to>
      <xdr:col>6</xdr:col>
      <xdr:colOff>66675</xdr:colOff>
      <xdr:row>71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15</xdr:col>
      <xdr:colOff>438150</xdr:colOff>
      <xdr:row>71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6</xdr:col>
      <xdr:colOff>66675</xdr:colOff>
      <xdr:row>88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15</xdr:col>
      <xdr:colOff>438150</xdr:colOff>
      <xdr:row>93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99acres.com" TargetMode="External"/><Relationship Id="rId2" Type="http://schemas.openxmlformats.org/officeDocument/2006/relationships/hyperlink" Target="https://www.99acres.com" TargetMode="External"/><Relationship Id="rId3" Type="http://schemas.openxmlformats.org/officeDocument/2006/relationships/hyperlink" Target="https://www.magicbricks.com" TargetMode="External"/><Relationship Id="rId4" Type="http://schemas.openxmlformats.org/officeDocument/2006/relationships/hyperlink" Target="https://www.giftgujarat.in" TargetMode="External"/><Relationship Id="rId5" Type="http://schemas.openxmlformats.org/officeDocument/2006/relationships/hyperlink" Target="https://investors.micron.com" TargetMode="External"/><Relationship Id="rId6" Type="http://schemas.openxmlformats.org/officeDocument/2006/relationships/hyperlink" Target="https://westendcoffee.co" TargetMode="External"/><Relationship Id="rId7" Type="http://schemas.openxmlformats.org/officeDocument/2006/relationships/hyperlink" Target="https://aaroasta.com" TargetMode="External"/><Relationship Id="rId8" Type="http://schemas.openxmlformats.org/officeDocument/2006/relationships/hyperlink" Target="https://www.torrentpower.com" TargetMode="External"/><Relationship Id="rId9" Type="http://schemas.openxmlformats.org/officeDocument/2006/relationships/hyperlink" Target="https://in.indeed.com" TargetMode="External"/><Relationship Id="rId10" Type="http://schemas.openxmlformats.org/officeDocument/2006/relationships/hyperlink" Target="https://tradingeconomics.com/india/government-bond-yield" TargetMode="External"/><Relationship Id="rId11" Type="http://schemas.openxmlformats.org/officeDocument/2006/relationships/hyperlink" Target="https://pages.stern.nyu.edu/~adamodar/" TargetMode="External"/><Relationship Id="rId12" Type="http://schemas.openxmlformats.org/officeDocument/2006/relationships/hyperlink" Target="https://nrai.org" TargetMode="External"/><Relationship Id="rId13" Type="http://schemas.openxmlformats.org/officeDocument/2006/relationships/hyperlink" Target="https://www.worldcoffeeportal.com" TargetMode="External"/><Relationship Id="rId14" Type="http://schemas.openxmlformats.org/officeDocument/2006/relationships/hyperlink" Target="https://www.fas.usda.gov" TargetMode="External"/><Relationship Id="rId15" Type="http://schemas.openxmlformats.org/officeDocument/2006/relationships/hyperlink" Target="https://incometaxindia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E342E"/>
    <pageSetUpPr fitToPage="1"/>
  </sheetPr>
  <dimension ref="A1:L47"/>
  <sheetViews>
    <sheetView showGridLines="0" tabSelected="1" zoomScale="90" zoomScaleNormal="90" workbookViewId="0"/>
  </sheetViews>
  <sheetFormatPr defaultRowHeight="15"/>
  <cols>
    <col min="1" max="1" width="2.7109375" customWidth="1"/>
    <col min="2" max="2" width="30.7109375" customWidth="1"/>
    <col min="3" max="3" width="64.7109375" customWidth="1"/>
    <col min="4" max="4" width="22.7109375" customWidth="1"/>
    <col min="5" max="12" width="10.7109375" customWidth="1"/>
  </cols>
  <sheetData>
    <row r="1" spans="2:12" ht="30" customHeight="1">
      <c r="B1" s="1" t="s">
        <v>0</v>
      </c>
    </row>
    <row r="2" spans="2:12">
      <c r="B2" s="2" t="s">
        <v>1</v>
      </c>
    </row>
    <row r="3" spans="2:12">
      <c r="B3" s="3" t="str">
        <f>"Model running: "&amp;Inputs!$D$23</f>
        <v>Model running: Prahladnagar | Rent | Toll roasting | Specialty mix | Base case</v>
      </c>
    </row>
    <row r="5" spans="2:12" ht="18" customHeight="1"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2:12">
      <c r="B6" s="6" t="s">
        <v>3</v>
      </c>
      <c r="C6" s="7" t="s">
        <v>4</v>
      </c>
    </row>
    <row r="7" spans="2:12">
      <c r="B7" s="6" t="s">
        <v>5</v>
      </c>
      <c r="C7" s="7" t="s">
        <v>6</v>
      </c>
    </row>
    <row r="8" spans="2:12">
      <c r="B8" s="6" t="s">
        <v>7</v>
      </c>
      <c r="C8" s="7" t="s">
        <v>8</v>
      </c>
    </row>
    <row r="9" spans="2:12">
      <c r="B9" s="6" t="s">
        <v>9</v>
      </c>
      <c r="C9" s="7" t="s">
        <v>10</v>
      </c>
    </row>
    <row r="10" spans="2:12">
      <c r="B10" s="6" t="s">
        <v>11</v>
      </c>
      <c r="C10" s="7" t="s">
        <v>12</v>
      </c>
    </row>
    <row r="11" spans="2:12">
      <c r="B11" s="6" t="s">
        <v>13</v>
      </c>
      <c r="C11" s="7" t="s">
        <v>14</v>
      </c>
    </row>
    <row r="12" spans="2:12">
      <c r="B12" s="6" t="s">
        <v>15</v>
      </c>
      <c r="C12" s="7" t="s">
        <v>16</v>
      </c>
    </row>
    <row r="13" spans="2:12">
      <c r="B13" s="6" t="s">
        <v>17</v>
      </c>
      <c r="C13" s="7" t="s">
        <v>18</v>
      </c>
    </row>
    <row r="14" spans="2:12">
      <c r="B14" s="6" t="s">
        <v>19</v>
      </c>
      <c r="C14" s="7" t="s">
        <v>20</v>
      </c>
    </row>
    <row r="15" spans="2:12">
      <c r="B15" s="6" t="s">
        <v>21</v>
      </c>
      <c r="C15" s="7" t="s">
        <v>22</v>
      </c>
    </row>
    <row r="17" spans="2:12" ht="18" customHeight="1">
      <c r="B17" s="4" t="s">
        <v>23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>
      <c r="B18" s="7" t="s">
        <v>24</v>
      </c>
      <c r="D18" s="8" t="str">
        <f>IF(SUMPRODUCT(ABS(Model!$F$76:$P$76))&lt;0.01,"OK","ERROR")</f>
        <v>OK</v>
      </c>
    </row>
    <row r="19" spans="2:12">
      <c r="B19" s="7" t="s">
        <v>25</v>
      </c>
      <c r="D19" s="8" t="str">
        <f>IF(MIN(Model!$F$61:$P$61)&gt;=-0.001,"OK","ERROR")</f>
        <v>OK</v>
      </c>
    </row>
    <row r="20" spans="2:12">
      <c r="B20" s="7" t="s">
        <v>26</v>
      </c>
      <c r="D20" s="8" t="str">
        <f>IF(ABS(Capex!$G$53-Capex!$G$58)&lt;0.001,"OK","ERROR")</f>
        <v>OK</v>
      </c>
    </row>
    <row r="21" spans="2:12">
      <c r="B21" s="7" t="s">
        <v>27</v>
      </c>
      <c r="D21" s="9" t="str">
        <f>IF(SUMPRODUCT(ABS(MixCheck-1))&lt;0.0001,"OK","ERROR")</f>
        <v>OK</v>
      </c>
    </row>
    <row r="22" spans="2:12">
      <c r="B22" s="7" t="s">
        <v>28</v>
      </c>
      <c r="D22" s="8" t="str">
        <f>IF(AND(Inputs!$D$77&gt;=0,Inputs!$D$77&lt;=1),"OK","ERROR")</f>
        <v>OK</v>
      </c>
    </row>
    <row r="23" spans="2:12">
      <c r="B23" s="7" t="s">
        <v>29</v>
      </c>
      <c r="D23" s="8" t="str">
        <f>IF(DCF!$D$41&gt;DCF!$D$42,"OK","ERROR")</f>
        <v>OK</v>
      </c>
    </row>
    <row r="24" spans="2:12">
      <c r="B24" s="7" t="s">
        <v>30</v>
      </c>
      <c r="D24" s="8" t="str">
        <f>IF(SUMPRODUCT(--(Model!$F$83:$P$83&gt;Model!$F$84:$P$84+0.001))=0,"OK","INFO: capacity binds")</f>
        <v>OK</v>
      </c>
    </row>
    <row r="25" spans="2:12">
      <c r="B25" s="7" t="s">
        <v>31</v>
      </c>
      <c r="D25" s="8" t="str">
        <f>IF(AND(Scenarios!$D$6=0,Scenarios!$D$7=0,Scenarios!$D$8=0,Scenarios!$D$9=0,Scenarios!$D$10=0,Scenarios!$D$11=0,Scenarios!$D$13=1,Scenarios!$D$14=1,Scenarios!$D$15=1,Scenarios!$D$16=1,Scenarios!$D$17=1,Scenarios!$D$18=1,Scenarios!$D$19=0,Scenarios!$D$20=0,Scenarios!$D$21=0,Scenarios!$D$22=0,Scenarios!$D$12=0),"OK","INFO: overrides active")</f>
        <v>OK</v>
      </c>
    </row>
    <row r="26" spans="2:12">
      <c r="B26" s="10" t="s">
        <v>32</v>
      </c>
      <c r="C26" s="11"/>
      <c r="D26" s="12" t="str">
        <f>IF(COUNTIF(D18:D23,"OK")=6,"ALL CHECKS OK","REVIEW")</f>
        <v>ALL CHECKS OK</v>
      </c>
    </row>
    <row r="28" spans="2:12" ht="18" customHeight="1">
      <c r="B28" s="4" t="s">
        <v>33</v>
      </c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2:12" ht="30" customHeight="1">
      <c r="B29" s="7" t="s">
        <v>34</v>
      </c>
      <c r="C29" s="13" t="s">
        <v>35</v>
      </c>
      <c r="D29" s="14">
        <v>0</v>
      </c>
    </row>
    <row r="31" spans="2:12" ht="18" customHeight="1">
      <c r="B31" s="4" t="s">
        <v>36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>
      <c r="B32" s="15" t="s">
        <v>37</v>
      </c>
      <c r="C32" s="7" t="s">
        <v>38</v>
      </c>
    </row>
    <row r="33" spans="2:12">
      <c r="B33" s="16" t="s">
        <v>39</v>
      </c>
      <c r="C33" s="7" t="s">
        <v>40</v>
      </c>
    </row>
    <row r="34" spans="2:12">
      <c r="B34" s="17" t="s">
        <v>41</v>
      </c>
      <c r="C34" s="7" t="s">
        <v>42</v>
      </c>
    </row>
    <row r="35" spans="2:12">
      <c r="B35" s="18" t="s">
        <v>43</v>
      </c>
      <c r="C35" s="7" t="s">
        <v>44</v>
      </c>
    </row>
    <row r="36" spans="2:12">
      <c r="B36" s="18" t="s">
        <v>45</v>
      </c>
      <c r="C36" s="7" t="s">
        <v>46</v>
      </c>
    </row>
    <row r="37" spans="2:12">
      <c r="B37" s="18" t="s">
        <v>47</v>
      </c>
      <c r="C37" s="7" t="s">
        <v>48</v>
      </c>
    </row>
    <row r="38" spans="2:12">
      <c r="B38" s="18" t="s">
        <v>49</v>
      </c>
      <c r="C38" s="7" t="s">
        <v>50</v>
      </c>
    </row>
    <row r="39" spans="2:12">
      <c r="B39" s="18" t="s">
        <v>51</v>
      </c>
      <c r="C39" s="7" t="s">
        <v>52</v>
      </c>
    </row>
    <row r="41" spans="2:12" ht="18" customHeight="1">
      <c r="B41" s="4" t="s">
        <v>53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>
      <c r="B42" s="7" t="s">
        <v>54</v>
      </c>
    </row>
    <row r="43" spans="2:12">
      <c r="B43" s="7" t="s">
        <v>55</v>
      </c>
    </row>
    <row r="44" spans="2:12">
      <c r="B44" s="7" t="s">
        <v>56</v>
      </c>
    </row>
    <row r="45" spans="2:12">
      <c r="B45" s="7" t="s">
        <v>57</v>
      </c>
    </row>
    <row r="46" spans="2:12">
      <c r="B46" s="7" t="s">
        <v>58</v>
      </c>
    </row>
    <row r="47" spans="2:12">
      <c r="B47" s="7" t="s">
        <v>59</v>
      </c>
    </row>
  </sheetData>
  <conditionalFormatting sqref="D18:D26">
    <cfRule type="beginsWith" dxfId="0" priority="1" operator="beginsWith" text="OK">
      <formula>LEFT(D18,2)="OK"</formula>
    </cfRule>
    <cfRule type="beginsWith" dxfId="0" priority="2" operator="beginsWith" text="ALL">
      <formula>LEFT(D18,3)="ALL"</formula>
    </cfRule>
    <cfRule type="beginsWith" dxfId="1" priority="3" operator="beginsWith" text="INFO">
      <formula>LEFT(D18,4)="INFO"</formula>
    </cfRule>
    <cfRule type="beginsWith" dxfId="2" priority="4" operator="beginsWith" text="ERR">
      <formula>LEFT(D18,3)="ERR"</formula>
    </cfRule>
    <cfRule type="beginsWith" dxfId="2" priority="5" operator="beginsWith" text="REV">
      <formula>LEFT(D18,3)="REV"</formula>
    </cfRule>
  </conditionalFormatting>
  <dataValidations count="1">
    <dataValidation type="whole" allowBlank="1" showInputMessage="1" showErrorMessage="1" sqref="D29">
      <formula1>0</formula1>
      <formula2>1</formula2>
    </dataValidation>
  </dataValidations>
  <hyperlinks>
    <hyperlink ref="B6" location="'Dashboard'!A1" display="Dashboard"/>
    <hyperlink ref="B7" location="'Inputs'!A1" display="Inputs"/>
    <hyperlink ref="B8" location="'Locations'!A1" display="Locations"/>
    <hyperlink ref="B9" location="'Sourcing'!A1" display="Sourcing"/>
    <hyperlink ref="B10" location="'Capex'!A1" display="Capex"/>
    <hyperlink ref="B11" location="'Model'!A1" display="Model"/>
    <hyperlink ref="B12" location="'DCF'!A1" display="DCF"/>
    <hyperlink ref="B13" location="'Scenarios'!A1" display="Scenarios"/>
    <hyperlink ref="B14" location="'Configs'!A1" display="Configs"/>
    <hyperlink ref="B15" location="'Sources'!A1" display="Sources"/>
  </hyperlink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504D"/>
    <pageSetUpPr fitToPage="1"/>
  </sheetPr>
  <dimension ref="A1:P56"/>
  <sheetViews>
    <sheetView showGridLines="0" zoomScale="90" zoomScaleNormal="90" workbookViewId="0"/>
  </sheetViews>
  <sheetFormatPr defaultRowHeight="15"/>
  <cols>
    <col min="1" max="1" width="2.7109375" customWidth="1"/>
    <col min="2" max="2" width="46.7109375" customWidth="1"/>
    <col min="3" max="3" width="12.7109375" customWidth="1"/>
    <col min="4" max="4" width="13.7109375" customWidth="1"/>
    <col min="5" max="5" width="2.7109375" customWidth="1"/>
    <col min="6" max="16" width="11.7109375" customWidth="1"/>
    <col min="17" max="17" width="2.7109375" customWidth="1"/>
    <col min="18" max="18" width="60.7109375" customWidth="1"/>
  </cols>
  <sheetData>
    <row r="1" spans="2:16" ht="24" customHeight="1">
      <c r="B1" s="19" t="s">
        <v>3</v>
      </c>
    </row>
    <row r="2" spans="2:16">
      <c r="B2" s="2" t="s">
        <v>872</v>
      </c>
    </row>
    <row r="3" spans="2:16">
      <c r="B3" s="3" t="str">
        <f>"Model running: "&amp;Inputs!$D$23</f>
        <v>Model running: Prahladnagar | Rent | Toll roasting | Specialty mix | Base case</v>
      </c>
    </row>
    <row r="5" spans="2:16" ht="18" customHeight="1">
      <c r="B5" s="4" t="s">
        <v>873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>
      <c r="B6" s="20" t="s">
        <v>66</v>
      </c>
      <c r="D6" s="17" t="str">
        <f>Inputs!$F$15</f>
        <v>Prahladnagar</v>
      </c>
    </row>
    <row r="7" spans="2:16">
      <c r="B7" s="20" t="s">
        <v>70</v>
      </c>
      <c r="D7" s="17" t="str">
        <f>Inputs!$F$16</f>
        <v>Rent</v>
      </c>
    </row>
    <row r="8" spans="2:16">
      <c r="B8" s="20" t="s">
        <v>874</v>
      </c>
      <c r="D8" s="17" t="str">
        <f>Inputs!$F$17</f>
        <v>Toll roasting</v>
      </c>
    </row>
    <row r="9" spans="2:16">
      <c r="B9" s="20" t="s">
        <v>76</v>
      </c>
      <c r="D9" s="17" t="str">
        <f>Inputs!$F$18</f>
        <v>Specialty</v>
      </c>
    </row>
    <row r="10" spans="2:16">
      <c r="B10" s="20" t="s">
        <v>79</v>
      </c>
      <c r="D10" s="17" t="str">
        <f>Inputs!$F$19</f>
        <v>Base</v>
      </c>
    </row>
    <row r="12" spans="2:16" ht="18" customHeight="1">
      <c r="B12" s="4" t="s">
        <v>875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2:16">
      <c r="B13" s="20" t="s">
        <v>451</v>
      </c>
      <c r="D13" s="21">
        <f>DCF!$D$80</f>
        <v>101.22800000000001</v>
      </c>
      <c r="F13" s="7" t="s">
        <v>876</v>
      </c>
      <c r="J13" s="22">
        <f>DCF!$D$76</f>
        <v>4.723711150992632</v>
      </c>
    </row>
    <row r="14" spans="2:16">
      <c r="B14" s="20" t="s">
        <v>455</v>
      </c>
      <c r="D14" s="21">
        <f>DCF!$D$81</f>
        <v>68.028</v>
      </c>
      <c r="F14" s="7" t="s">
        <v>689</v>
      </c>
      <c r="J14" s="22">
        <f>DCF!$D$77</f>
        <v>8.195456384979604</v>
      </c>
    </row>
    <row r="15" spans="2:16">
      <c r="B15" s="20" t="s">
        <v>453</v>
      </c>
      <c r="D15" s="21">
        <f>DCF!$D$82</f>
        <v>33.2</v>
      </c>
      <c r="F15" s="7" t="s">
        <v>877</v>
      </c>
      <c r="J15" s="21">
        <f>DCF!$D$84</f>
        <v>177.8112</v>
      </c>
    </row>
    <row r="16" spans="2:16">
      <c r="B16" s="20" t="s">
        <v>878</v>
      </c>
      <c r="D16" s="23">
        <f>DCF!$D$41</f>
        <v>0.16155400291776978</v>
      </c>
      <c r="F16" s="7" t="s">
        <v>879</v>
      </c>
      <c r="J16" s="21">
        <f>DCF!$D$85</f>
        <v>33.68388291191275</v>
      </c>
    </row>
    <row r="17" spans="2:16">
      <c r="B17" s="20" t="s">
        <v>651</v>
      </c>
      <c r="D17" s="23">
        <f>DCF!$D$37</f>
        <v>0.20022525970717941</v>
      </c>
      <c r="F17" s="7" t="s">
        <v>880</v>
      </c>
      <c r="J17" s="23">
        <f>DCF!$D$86</f>
        <v>0.18943622736876387</v>
      </c>
    </row>
    <row r="18" spans="2:16">
      <c r="B18" s="20" t="s">
        <v>881</v>
      </c>
      <c r="D18" s="21">
        <f>DCF!$D$61</f>
        <v>89.5981067034728</v>
      </c>
      <c r="F18" s="7" t="s">
        <v>882</v>
      </c>
      <c r="J18" s="24">
        <f>DCF!$D$88</f>
        <v>140.0</v>
      </c>
    </row>
    <row r="19" spans="2:16">
      <c r="B19" s="20" t="s">
        <v>676</v>
      </c>
      <c r="D19" s="23">
        <f>DCF!$D$64</f>
        <v>0.2863643099700878</v>
      </c>
      <c r="F19" s="7" t="s">
        <v>883</v>
      </c>
      <c r="J19" s="24">
        <f>DCF!$D$89</f>
        <v>95.96828243166125</v>
      </c>
    </row>
    <row r="20" spans="2:16">
      <c r="B20" s="20" t="s">
        <v>680</v>
      </c>
      <c r="D20" s="23">
        <f>DCF!$D$68</f>
        <v>0.32930809709610975</v>
      </c>
      <c r="F20" s="7" t="s">
        <v>884</v>
      </c>
      <c r="J20" s="23">
        <f>DCF!$D$90</f>
        <v>0.3145122683452768</v>
      </c>
    </row>
    <row r="21" spans="2:16">
      <c r="B21" s="20" t="s">
        <v>681</v>
      </c>
      <c r="D21" s="21">
        <f>DCF!$D$69</f>
        <v>65.83947761744861</v>
      </c>
      <c r="F21" s="7" t="s">
        <v>705</v>
      </c>
      <c r="J21" s="21">
        <f>DCF!$D$97</f>
        <v>0.0</v>
      </c>
    </row>
    <row r="22" spans="2:16">
      <c r="B22" s="20" t="s">
        <v>885</v>
      </c>
      <c r="D22" s="25">
        <f>DCF!$D$70</f>
        <v>8.8873609260349</v>
      </c>
      <c r="F22" s="7" t="s">
        <v>886</v>
      </c>
      <c r="J22" s="25">
        <f>DCF!$D$98</f>
        <v>1.8513539886059391</v>
      </c>
    </row>
    <row r="23" spans="2:16">
      <c r="B23" s="20" t="s">
        <v>887</v>
      </c>
      <c r="D23" s="23">
        <f>DCF!$D$62</f>
        <v>0.4234223096286446</v>
      </c>
      <c r="F23" s="7" t="s">
        <v>888</v>
      </c>
      <c r="J23" s="23">
        <f>DCF!$D$101</f>
        <v>0.7306201716843176</v>
      </c>
    </row>
    <row r="24" spans="2:16">
      <c r="B24" s="20" t="s">
        <v>889</v>
      </c>
      <c r="D24" s="25">
        <f>DCF!$D$56</f>
        <v>5.595552281373244</v>
      </c>
      <c r="F24" s="7" t="s">
        <v>890</v>
      </c>
      <c r="J24" s="21">
        <f>DCF!$D$99</f>
        <v>19.628082416289878</v>
      </c>
    </row>
    <row r="26" spans="2:16" ht="18" customHeight="1">
      <c r="B26" s="4" t="s">
        <v>891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2:16">
      <c r="B27" s="26" t="s">
        <v>321</v>
      </c>
      <c r="C27" s="27"/>
      <c r="D27" s="27"/>
      <c r="E27" s="27"/>
      <c r="F27" s="28">
        <f>Model!F5</f>
        <v>2027.0</v>
      </c>
      <c r="G27" s="28">
        <f>Model!G5</f>
        <v>2028.0</v>
      </c>
      <c r="H27" s="28">
        <f>Model!H5</f>
        <v>2029.0</v>
      </c>
      <c r="I27" s="28">
        <f>Model!I5</f>
        <v>2030.0</v>
      </c>
      <c r="J27" s="28">
        <f>Model!J5</f>
        <v>2031.0</v>
      </c>
      <c r="K27" s="28">
        <f>Model!K5</f>
        <v>2032.0</v>
      </c>
      <c r="L27" s="28">
        <f>Model!L5</f>
        <v>2033.0</v>
      </c>
      <c r="M27" s="28">
        <f>Model!M5</f>
        <v>2034.0</v>
      </c>
      <c r="N27" s="28">
        <f>Model!N5</f>
        <v>2035.0</v>
      </c>
      <c r="O27" s="28">
        <f>Model!O5</f>
        <v>2036.0</v>
      </c>
      <c r="P27" s="28">
        <f>Model!P5</f>
        <v>2037.0</v>
      </c>
    </row>
    <row r="28" spans="2:16">
      <c r="B28" s="20" t="s">
        <v>533</v>
      </c>
      <c r="C28" s="2" t="s">
        <v>84</v>
      </c>
      <c r="F28" s="29">
        <f>Model!F85</f>
        <v>0.0</v>
      </c>
      <c r="G28" s="29">
        <f>Model!G85</f>
        <v>91.0</v>
      </c>
      <c r="H28" s="29">
        <f>Model!H85</f>
        <v>119.0</v>
      </c>
      <c r="I28" s="29">
        <f>Model!I85</f>
        <v>140.0</v>
      </c>
      <c r="J28" s="29">
        <f>Model!J85</f>
        <v>143.5</v>
      </c>
      <c r="K28" s="29">
        <f>Model!K85</f>
        <v>147.08749999999998</v>
      </c>
      <c r="L28" s="29">
        <f>Model!L85</f>
        <v>150.76468749999998</v>
      </c>
      <c r="M28" s="29">
        <f>Model!M85</f>
        <v>154.53380468749998</v>
      </c>
      <c r="N28" s="29">
        <f>Model!N85</f>
        <v>158.39714980468744</v>
      </c>
      <c r="O28" s="29">
        <f>Model!O85</f>
        <v>162.3570785498046</v>
      </c>
      <c r="P28" s="29">
        <f>Model!P85</f>
        <v>166.41600551354972</v>
      </c>
    </row>
    <row r="29" spans="2:16">
      <c r="B29" s="20" t="s">
        <v>892</v>
      </c>
      <c r="C29" s="2" t="s">
        <v>100</v>
      </c>
      <c r="F29" s="29">
        <f>Model!F89</f>
        <v>0.0</v>
      </c>
      <c r="G29" s="29">
        <f>Model!G89</f>
        <v>320.0</v>
      </c>
      <c r="H29" s="29">
        <f>Model!H89</f>
        <v>336.0</v>
      </c>
      <c r="I29" s="29">
        <f>Model!I89</f>
        <v>352.8</v>
      </c>
      <c r="J29" s="29">
        <f>Model!J89</f>
        <v>370.44000000000005</v>
      </c>
      <c r="K29" s="29">
        <f>Model!K89</f>
        <v>388.96200000000005</v>
      </c>
      <c r="L29" s="29">
        <f>Model!L89</f>
        <v>408.41010000000006</v>
      </c>
      <c r="M29" s="29">
        <f>Model!M89</f>
        <v>428.8306050000001</v>
      </c>
      <c r="N29" s="29">
        <f>Model!N89</f>
        <v>450.27213525000013</v>
      </c>
      <c r="O29" s="29">
        <f>Model!O89</f>
        <v>472.7857420125002</v>
      </c>
      <c r="P29" s="29">
        <f>Model!P89</f>
        <v>496.4250291131252</v>
      </c>
    </row>
    <row r="30" spans="2:16">
      <c r="B30" s="16" t="s">
        <v>470</v>
      </c>
      <c r="C30" s="2" t="s">
        <v>321</v>
      </c>
      <c r="F30" s="21">
        <f>Model!F16</f>
        <v>0.0</v>
      </c>
      <c r="G30" s="21">
        <f>Model!G16</f>
        <v>104.832</v>
      </c>
      <c r="H30" s="21">
        <f>Model!H16</f>
        <v>143.9424</v>
      </c>
      <c r="I30" s="21">
        <f>Model!I16</f>
        <v>177.8112</v>
      </c>
      <c r="J30" s="21">
        <f>Model!J16</f>
        <v>191.36930400000003</v>
      </c>
      <c r="K30" s="21">
        <f>Model!K16</f>
        <v>205.96121343</v>
      </c>
      <c r="L30" s="21">
        <f>Model!L16</f>
        <v>221.6657559540375</v>
      </c>
      <c r="M30" s="21">
        <f>Model!M16</f>
        <v>238.5677698455329</v>
      </c>
      <c r="N30" s="21">
        <f>Model!N16</f>
        <v>256.75856229625475</v>
      </c>
      <c r="O30" s="21">
        <f>Model!O16</f>
        <v>276.3364026713441</v>
      </c>
      <c r="P30" s="21">
        <f>Model!P16</f>
        <v>297.40705337503414</v>
      </c>
    </row>
    <row r="31" spans="2:16">
      <c r="B31" s="20" t="s">
        <v>893</v>
      </c>
      <c r="C31" s="2" t="s">
        <v>102</v>
      </c>
      <c r="F31" s="30">
        <f>Model!F20</f>
        <v>0.0</v>
      </c>
      <c r="G31" s="30">
        <f>Model!G20</f>
        <v>0.6975856930014429</v>
      </c>
      <c r="H31" s="30">
        <f>Model!H20</f>
        <v>0.699191868257404</v>
      </c>
      <c r="I31" s="30">
        <f>Model!I20</f>
        <v>0.7007674496989656</v>
      </c>
      <c r="J31" s="30">
        <f>Model!J20</f>
        <v>0.7023149868106615</v>
      </c>
      <c r="K31" s="30">
        <f>Model!K20</f>
        <v>0.703829762178933</v>
      </c>
      <c r="L31" s="30">
        <f>Model!L20</f>
        <v>0.7053146903262676</v>
      </c>
      <c r="M31" s="30">
        <f>Model!M20</f>
        <v>0.7067723251812073</v>
      </c>
      <c r="N31" s="30">
        <f>Model!N20</f>
        <v>0.708204895302689</v>
      </c>
      <c r="O31" s="30">
        <f>Model!O20</f>
        <v>0.7096086288168112</v>
      </c>
      <c r="P31" s="30">
        <f>Model!P20</f>
        <v>0.7109860131960541</v>
      </c>
    </row>
    <row r="32" spans="2:16">
      <c r="B32" s="16" t="s">
        <v>482</v>
      </c>
      <c r="C32" s="2" t="s">
        <v>321</v>
      </c>
      <c r="F32" s="21">
        <f>Model!F29</f>
        <v>-11.0545</v>
      </c>
      <c r="G32" s="21">
        <f>Model!G29</f>
        <v>-3.7220470312727336</v>
      </c>
      <c r="H32" s="21">
        <f>Model!H29</f>
        <v>17.70190629745455</v>
      </c>
      <c r="I32" s="21">
        <f>Model!I29</f>
        <v>33.68388291191275</v>
      </c>
      <c r="J32" s="21">
        <f>Model!J29</f>
        <v>36.55568508232548</v>
      </c>
      <c r="K32" s="21">
        <f>Model!K29</f>
        <v>39.617940454950634</v>
      </c>
      <c r="L32" s="21">
        <f>Model!L29</f>
        <v>42.879726237969166</v>
      </c>
      <c r="M32" s="21">
        <f>Model!M29</f>
        <v>46.35007091305692</v>
      </c>
      <c r="N32" s="21">
        <f>Model!N29</f>
        <v>50.037862737615576</v>
      </c>
      <c r="O32" s="21">
        <f>Model!O29</f>
        <v>53.950164341321646</v>
      </c>
      <c r="P32" s="21">
        <f>Model!P29</f>
        <v>58.09512143707456</v>
      </c>
    </row>
    <row r="33" spans="2:16">
      <c r="B33" s="20" t="s">
        <v>483</v>
      </c>
      <c r="C33" s="2" t="s">
        <v>102</v>
      </c>
      <c r="F33" s="30">
        <f>Model!F30</f>
        <v>0.0</v>
      </c>
      <c r="G33" s="30">
        <f>Model!G30</f>
        <v>-0.035504874764124825</v>
      </c>
      <c r="H33" s="30">
        <f>Model!H30</f>
        <v>0.12297909648202719</v>
      </c>
      <c r="I33" s="30">
        <f>Model!I30</f>
        <v>0.18943622736876387</v>
      </c>
      <c r="J33" s="30">
        <f>Model!J30</f>
        <v>0.19102167546329937</v>
      </c>
      <c r="K33" s="30">
        <f>Model!K30</f>
        <v>0.1923563169742908</v>
      </c>
      <c r="L33" s="30">
        <f>Model!L30</f>
        <v>0.19344316876288414</v>
      </c>
      <c r="M33" s="30">
        <f>Model!M30</f>
        <v>0.19428471391197358</v>
      </c>
      <c r="N33" s="30">
        <f>Model!N30</f>
        <v>0.19488293706786136</v>
      </c>
      <c r="O33" s="30">
        <f>Model!O30</f>
        <v>0.19523364934835</v>
      </c>
      <c r="P33" s="30">
        <f>Model!P30</f>
        <v>0.19533874794763478</v>
      </c>
    </row>
    <row r="34" spans="2:16">
      <c r="B34" s="20" t="s">
        <v>491</v>
      </c>
      <c r="C34" s="2" t="s">
        <v>321</v>
      </c>
      <c r="F34" s="31">
        <f>Model!F38</f>
        <v>-11.0545</v>
      </c>
      <c r="G34" s="31">
        <f>Model!G38</f>
        <v>-14.924470583752733</v>
      </c>
      <c r="H34" s="31">
        <f>Model!H38</f>
        <v>6.615873322379439</v>
      </c>
      <c r="I34" s="31">
        <f>Model!I38</f>
        <v>22.00129598324279</v>
      </c>
      <c r="J34" s="31">
        <f>Model!J38</f>
        <v>20.0773472875374</v>
      </c>
      <c r="K34" s="31">
        <f>Model!K38</f>
        <v>23.411655441179416</v>
      </c>
      <c r="L34" s="31">
        <f>Model!L38</f>
        <v>26.600992594979697</v>
      </c>
      <c r="M34" s="31">
        <f>Model!M38</f>
        <v>27.840879939848733</v>
      </c>
      <c r="N34" s="31">
        <f>Model!N38</f>
        <v>31.44940045178779</v>
      </c>
      <c r="O34" s="31">
        <f>Model!O38</f>
        <v>38.85062002733042</v>
      </c>
      <c r="P34" s="31">
        <f>Model!P38</f>
        <v>45.306615575794616</v>
      </c>
    </row>
    <row r="35" spans="2:16">
      <c r="B35" s="20" t="s">
        <v>497</v>
      </c>
      <c r="C35" s="2" t="s">
        <v>321</v>
      </c>
      <c r="F35" s="31">
        <f>Model!F46</f>
        <v>-11.0545</v>
      </c>
      <c r="G35" s="31">
        <f>Model!G46</f>
        <v>-7.816526603277713</v>
      </c>
      <c r="H35" s="31">
        <f>Model!H46</f>
        <v>14.469084892551336</v>
      </c>
      <c r="I35" s="31">
        <f>Model!I46</f>
        <v>30.057110710044633</v>
      </c>
      <c r="J35" s="31">
        <f>Model!J46</f>
        <v>28.62747876739145</v>
      </c>
      <c r="K35" s="31">
        <f>Model!K46</f>
        <v>31.921774892226082</v>
      </c>
      <c r="L35" s="31">
        <f>Model!L46</f>
        <v>35.69918612706552</v>
      </c>
      <c r="M35" s="31">
        <f>Model!M46</f>
        <v>39.03468182703366</v>
      </c>
      <c r="N35" s="31">
        <f>Model!N46</f>
        <v>42.74169975145762</v>
      </c>
      <c r="O35" s="31">
        <f>Model!O46</f>
        <v>46.74329920728452</v>
      </c>
      <c r="P35" s="31">
        <f>Model!P46</f>
        <v>51.05082936329933</v>
      </c>
    </row>
    <row r="36" spans="2:16">
      <c r="B36" s="20" t="s">
        <v>11</v>
      </c>
      <c r="C36" s="2" t="s">
        <v>321</v>
      </c>
      <c r="F36" s="31">
        <f>Model!F47</f>
        <v>-66.465</v>
      </c>
      <c r="G36" s="31">
        <f>Model!G47</f>
        <v>-1.5724799999999999</v>
      </c>
      <c r="H36" s="31">
        <f>Model!H47</f>
        <v>-2.1591359999999997</v>
      </c>
      <c r="I36" s="31">
        <f>Model!I47</f>
        <v>-2.667168</v>
      </c>
      <c r="J36" s="31">
        <f>Model!J47</f>
        <v>-2.87053956</v>
      </c>
      <c r="K36" s="31">
        <f>Model!K47</f>
        <v>-3.0894182014499996</v>
      </c>
      <c r="L36" s="31">
        <f>Model!L47</f>
        <v>-14.816306457669942</v>
      </c>
      <c r="M36" s="31">
        <f>Model!M47</f>
        <v>-3.578516547682993</v>
      </c>
      <c r="N36" s="31">
        <f>Model!N47</f>
        <v>-3.8513784344438213</v>
      </c>
      <c r="O36" s="31">
        <f>Model!O47</f>
        <v>-4.145046040070161</v>
      </c>
      <c r="P36" s="31">
        <f>Model!P47</f>
        <v>-4.4611058006255115</v>
      </c>
    </row>
    <row r="37" spans="2:16">
      <c r="B37" s="16" t="s">
        <v>640</v>
      </c>
      <c r="C37" s="2" t="s">
        <v>321</v>
      </c>
      <c r="F37" s="21">
        <f>DCF!F24</f>
        <v>-82.1195</v>
      </c>
      <c r="G37" s="21">
        <f>DCF!G24</f>
        <v>-6.501346603277715</v>
      </c>
      <c r="H37" s="21">
        <f>DCF!H24</f>
        <v>15.108369156682445</v>
      </c>
      <c r="I37" s="21">
        <f>DCF!I24</f>
        <v>27.336693507011745</v>
      </c>
      <c r="J37" s="21">
        <f>DCF!J24</f>
        <v>25.96708587208386</v>
      </c>
      <c r="K37" s="21">
        <f>DCF!K24</f>
        <v>27.923706909561485</v>
      </c>
      <c r="L37" s="21">
        <f>DCF!L24</f>
        <v>18.76337758582732</v>
      </c>
      <c r="M37" s="21">
        <f>DCF!M24</f>
        <v>32.71158013521432</v>
      </c>
      <c r="N37" s="21">
        <f>DCF!N24</f>
        <v>35.08443386880369</v>
      </c>
      <c r="O37" s="21">
        <f>DCF!O24</f>
        <v>37.62826950908635</v>
      </c>
      <c r="P37" s="21">
        <f>DCF!P24</f>
        <v>40.34465491214222</v>
      </c>
    </row>
    <row r="38" spans="2:16">
      <c r="B38" s="20" t="s">
        <v>684</v>
      </c>
      <c r="C38" s="2" t="s">
        <v>321</v>
      </c>
      <c r="F38" s="31">
        <f>DCF!F72</f>
        <v>-82.1195</v>
      </c>
      <c r="G38" s="31">
        <f>DCF!G72</f>
        <v>-88.62084660327771</v>
      </c>
      <c r="H38" s="31">
        <f>DCF!H72</f>
        <v>-73.51247744659527</v>
      </c>
      <c r="I38" s="31">
        <f>DCF!I72</f>
        <v>-46.175783939583525</v>
      </c>
      <c r="J38" s="31">
        <f>DCF!J72</f>
        <v>-20.208698067499665</v>
      </c>
      <c r="K38" s="31">
        <f>DCF!K72</f>
        <v>7.71500884206182</v>
      </c>
      <c r="L38" s="31">
        <f>DCF!L72</f>
        <v>26.47838642788914</v>
      </c>
      <c r="M38" s="31">
        <f>DCF!M72</f>
        <v>59.18996656310346</v>
      </c>
      <c r="N38" s="31">
        <f>DCF!N72</f>
        <v>94.27440043190715</v>
      </c>
      <c r="O38" s="31">
        <f>DCF!O72</f>
        <v>131.90266994099352</v>
      </c>
      <c r="P38" s="31">
        <f>DCF!P72</f>
        <v>172.24732485313575</v>
      </c>
    </row>
    <row r="39" spans="2:16">
      <c r="B39" s="20" t="s">
        <v>509</v>
      </c>
      <c r="C39" s="2" t="s">
        <v>321</v>
      </c>
      <c r="F39" s="31">
        <f>Model!F61</f>
        <v>19.108500000000006</v>
      </c>
      <c r="G39" s="31">
        <f>Model!G61</f>
        <v>3.0794933967222917</v>
      </c>
      <c r="H39" s="31">
        <f>Model!H61</f>
        <v>8.749442289273627</v>
      </c>
      <c r="I39" s="31">
        <f>Model!I61</f>
        <v>29.49938499931826</v>
      </c>
      <c r="J39" s="31">
        <f>Model!J61</f>
        <v>48.616324206709706</v>
      </c>
      <c r="K39" s="31">
        <f>Model!K61</f>
        <v>70.80868089748579</v>
      </c>
      <c r="L39" s="31">
        <f>Model!L61</f>
        <v>91.69156056688136</v>
      </c>
      <c r="M39" s="31">
        <f>Model!M61</f>
        <v>127.14772584623202</v>
      </c>
      <c r="N39" s="31">
        <f>Model!N61</f>
        <v>166.0380471632458</v>
      </c>
      <c r="O39" s="31">
        <f>Model!O61</f>
        <v>208.63630033046016</v>
      </c>
      <c r="P39" s="31">
        <f>Model!P61</f>
        <v>255.22602389313397</v>
      </c>
    </row>
    <row r="40" spans="2:16">
      <c r="B40" s="20" t="s">
        <v>894</v>
      </c>
      <c r="C40" s="2" t="s">
        <v>321</v>
      </c>
      <c r="F40" s="31">
        <f>Model!F203+Model!F209</f>
        <v>33.2</v>
      </c>
      <c r="G40" s="31">
        <f>Model!G203+Model!G209</f>
        <v>26.560000000000002</v>
      </c>
      <c r="H40" s="31">
        <f>Model!H203+Model!H209</f>
        <v>19.92</v>
      </c>
      <c r="I40" s="31">
        <f>Model!I203+Model!I209</f>
        <v>13.280000000000001</v>
      </c>
      <c r="J40" s="31">
        <f>Model!J203+Model!J209</f>
        <v>6.640000000000001</v>
      </c>
      <c r="K40" s="31">
        <f>Model!K203+Model!K209</f>
        <v>0.0</v>
      </c>
      <c r="L40" s="31">
        <f>Model!L203+Model!L209</f>
        <v>0.0</v>
      </c>
      <c r="M40" s="31">
        <f>Model!M203+Model!M209</f>
        <v>0.0</v>
      </c>
      <c r="N40" s="31">
        <f>Model!N203+Model!N209</f>
        <v>0.0</v>
      </c>
      <c r="O40" s="31">
        <f>Model!O203+Model!O209</f>
        <v>0.0</v>
      </c>
      <c r="P40" s="31">
        <f>Model!P203+Model!P209</f>
        <v>0.0</v>
      </c>
    </row>
    <row r="41" spans="2:16">
      <c r="B41" s="20" t="s">
        <v>523</v>
      </c>
      <c r="C41" s="2" t="s">
        <v>321</v>
      </c>
      <c r="F41" s="31">
        <f>Model!F74</f>
        <v>56.9735</v>
      </c>
      <c r="G41" s="31">
        <f>Model!G74</f>
        <v>42.04902941624727</v>
      </c>
      <c r="H41" s="31">
        <f>Model!H74</f>
        <v>48.66490273862671</v>
      </c>
      <c r="I41" s="31">
        <f>Model!I74</f>
        <v>70.6661987218695</v>
      </c>
      <c r="J41" s="31">
        <f>Model!J74</f>
        <v>90.7435460094069</v>
      </c>
      <c r="K41" s="31">
        <f>Model!K74</f>
        <v>114.15520145058632</v>
      </c>
      <c r="L41" s="31">
        <f>Model!L74</f>
        <v>140.75619404556602</v>
      </c>
      <c r="M41" s="31">
        <f>Model!M74</f>
        <v>168.59707398541474</v>
      </c>
      <c r="N41" s="31">
        <f>Model!N74</f>
        <v>200.04647443720256</v>
      </c>
      <c r="O41" s="31">
        <f>Model!O74</f>
        <v>238.89709446453298</v>
      </c>
      <c r="P41" s="31">
        <f>Model!P74</f>
        <v>284.20371004032756</v>
      </c>
    </row>
    <row r="43" spans="2:16" ht="18" customHeight="1">
      <c r="B43" s="4" t="s">
        <v>895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2:16" ht="30" customHeight="1">
      <c r="B44" s="32" t="s">
        <v>79</v>
      </c>
      <c r="F44" s="33" t="s">
        <v>838</v>
      </c>
      <c r="G44" s="33" t="s">
        <v>676</v>
      </c>
      <c r="H44" s="33" t="s">
        <v>680</v>
      </c>
      <c r="I44" s="33" t="s">
        <v>683</v>
      </c>
      <c r="J44" s="33" t="s">
        <v>896</v>
      </c>
      <c r="K44" s="33" t="s">
        <v>848</v>
      </c>
      <c r="L44" s="33" t="s">
        <v>849</v>
      </c>
      <c r="M44" s="33" t="s">
        <v>897</v>
      </c>
    </row>
    <row r="45" spans="2:16">
      <c r="B45" s="34" t="s">
        <v>106</v>
      </c>
      <c r="F45" s="31">
        <f>Scenarios!$D$49</f>
        <v>0.0</v>
      </c>
      <c r="G45" s="30">
        <f>Scenarios!$E$49</f>
        <v>0.0</v>
      </c>
      <c r="H45" s="30">
        <f>Scenarios!$F$49</f>
        <v>0.0</v>
      </c>
      <c r="I45" s="35">
        <f>Scenarios!$H$49</f>
        <v>0.0</v>
      </c>
      <c r="J45" s="31">
        <f>Scenarios!$K$49</f>
        <v>0.0</v>
      </c>
      <c r="K45" s="30">
        <f>Scenarios!$L$49</f>
        <v>0.0</v>
      </c>
      <c r="L45" s="29">
        <f>Scenarios!$M$49</f>
        <v>0.0</v>
      </c>
      <c r="M45" s="31">
        <f>Scenarios!$J$49</f>
        <v>0.0</v>
      </c>
    </row>
    <row r="46" spans="2:16">
      <c r="B46" s="34" t="s">
        <v>80</v>
      </c>
      <c r="F46" s="31">
        <f>Scenarios!$D$50</f>
        <v>0.0</v>
      </c>
      <c r="G46" s="30">
        <f>Scenarios!$E$50</f>
        <v>0.0</v>
      </c>
      <c r="H46" s="30">
        <f>Scenarios!$F$50</f>
        <v>0.0</v>
      </c>
      <c r="I46" s="35">
        <f>Scenarios!$H$50</f>
        <v>0.0</v>
      </c>
      <c r="J46" s="31">
        <f>Scenarios!$K$50</f>
        <v>0.0</v>
      </c>
      <c r="K46" s="30">
        <f>Scenarios!$L$50</f>
        <v>0.0</v>
      </c>
      <c r="L46" s="29">
        <f>Scenarios!$M$50</f>
        <v>0.0</v>
      </c>
      <c r="M46" s="31">
        <f>Scenarios!$J$50</f>
        <v>0.0</v>
      </c>
    </row>
    <row r="47" spans="2:16">
      <c r="B47" s="34" t="s">
        <v>107</v>
      </c>
      <c r="F47" s="31">
        <f>Scenarios!$D$51</f>
        <v>0.0</v>
      </c>
      <c r="G47" s="30">
        <f>Scenarios!$E$51</f>
        <v>0.0</v>
      </c>
      <c r="H47" s="30">
        <f>Scenarios!$F$51</f>
        <v>0.0</v>
      </c>
      <c r="I47" s="35">
        <f>Scenarios!$H$51</f>
        <v>0.0</v>
      </c>
      <c r="J47" s="31">
        <f>Scenarios!$K$51</f>
        <v>0.0</v>
      </c>
      <c r="K47" s="30">
        <f>Scenarios!$L$51</f>
        <v>0.0</v>
      </c>
      <c r="L47" s="29">
        <f>Scenarios!$M$51</f>
        <v>0.0</v>
      </c>
      <c r="M47" s="31">
        <f>Scenarios!$J$51</f>
        <v>0.0</v>
      </c>
    </row>
    <row r="49" spans="2:16" ht="18" customHeight="1">
      <c r="B49" s="4" t="s">
        <v>898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2:16" ht="30" customHeight="1">
      <c r="B50" s="32" t="s">
        <v>66</v>
      </c>
      <c r="F50" s="33" t="s">
        <v>899</v>
      </c>
      <c r="G50" s="33" t="s">
        <v>900</v>
      </c>
      <c r="H50" s="33" t="s">
        <v>901</v>
      </c>
      <c r="I50" s="33" t="s">
        <v>902</v>
      </c>
      <c r="J50" s="33" t="s">
        <v>903</v>
      </c>
      <c r="K50" s="33" t="s">
        <v>904</v>
      </c>
      <c r="L50" s="33" t="s">
        <v>905</v>
      </c>
      <c r="M50" s="33" t="s">
        <v>906</v>
      </c>
    </row>
    <row r="51" spans="2:16">
      <c r="B51" s="34" t="s">
        <v>68</v>
      </c>
      <c r="F51" s="31">
        <f>Scenarios!$D$57</f>
        <v>0.0</v>
      </c>
      <c r="G51" s="31">
        <f>Scenarios!$E$57</f>
        <v>0.0</v>
      </c>
      <c r="H51" s="30">
        <f>Scenarios!$D$64</f>
        <v>0.0</v>
      </c>
      <c r="I51" s="30">
        <f>Scenarios!$E$64</f>
        <v>0.0</v>
      </c>
      <c r="J51" s="30">
        <f>Scenarios!$D$71</f>
        <v>0.0</v>
      </c>
      <c r="K51" s="30">
        <f>Scenarios!$E$71</f>
        <v>0.0</v>
      </c>
      <c r="L51" s="31">
        <f>Scenarios!$D$78</f>
        <v>0.0</v>
      </c>
      <c r="M51" s="31">
        <f>Scenarios!$E$78</f>
        <v>0.0</v>
      </c>
    </row>
    <row r="52" spans="2:16">
      <c r="B52" s="34" t="s">
        <v>279</v>
      </c>
      <c r="F52" s="31">
        <f>Scenarios!$D$58</f>
        <v>0.0</v>
      </c>
      <c r="G52" s="31">
        <f>Scenarios!$E$58</f>
        <v>0.0</v>
      </c>
      <c r="H52" s="30">
        <f>Scenarios!$D$65</f>
        <v>0.0</v>
      </c>
      <c r="I52" s="30">
        <f>Scenarios!$E$65</f>
        <v>0.0</v>
      </c>
      <c r="J52" s="30">
        <f>Scenarios!$D$72</f>
        <v>0.0</v>
      </c>
      <c r="K52" s="30">
        <f>Scenarios!$E$72</f>
        <v>0.0</v>
      </c>
      <c r="L52" s="31">
        <f>Scenarios!$D$79</f>
        <v>0.0</v>
      </c>
      <c r="M52" s="31">
        <f>Scenarios!$E$79</f>
        <v>0.0</v>
      </c>
    </row>
    <row r="53" spans="2:16">
      <c r="B53" s="34" t="s">
        <v>280</v>
      </c>
      <c r="F53" s="31">
        <f>Scenarios!$D$59</f>
        <v>0.0</v>
      </c>
      <c r="G53" s="31">
        <f>Scenarios!$E$59</f>
        <v>0.0</v>
      </c>
      <c r="H53" s="30">
        <f>Scenarios!$D$66</f>
        <v>0.0</v>
      </c>
      <c r="I53" s="30">
        <f>Scenarios!$E$66</f>
        <v>0.0</v>
      </c>
      <c r="J53" s="30">
        <f>Scenarios!$D$73</f>
        <v>0.0</v>
      </c>
      <c r="K53" s="30">
        <f>Scenarios!$E$73</f>
        <v>0.0</v>
      </c>
      <c r="L53" s="31">
        <f>Scenarios!$D$80</f>
        <v>0.0</v>
      </c>
      <c r="M53" s="31">
        <f>Scenarios!$E$80</f>
        <v>0.0</v>
      </c>
    </row>
    <row r="54" spans="2:16">
      <c r="B54" s="34" t="s">
        <v>281</v>
      </c>
      <c r="F54" s="31">
        <f>Scenarios!$D$60</f>
        <v>0.0</v>
      </c>
      <c r="G54" s="31">
        <f>Scenarios!$E$60</f>
        <v>0.0</v>
      </c>
      <c r="H54" s="30">
        <f>Scenarios!$D$67</f>
        <v>0.0</v>
      </c>
      <c r="I54" s="30">
        <f>Scenarios!$E$67</f>
        <v>0.0</v>
      </c>
      <c r="J54" s="30">
        <f>Scenarios!$D$74</f>
        <v>0.0</v>
      </c>
      <c r="K54" s="30">
        <f>Scenarios!$E$74</f>
        <v>0.0</v>
      </c>
      <c r="L54" s="31">
        <f>Scenarios!$D$81</f>
        <v>0.0</v>
      </c>
      <c r="M54" s="31">
        <f>Scenarios!$E$81</f>
        <v>0.0</v>
      </c>
    </row>
    <row r="56" spans="2:16" ht="18" customHeight="1">
      <c r="B56" s="4" t="s">
        <v>907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</sheetData>
  <pageMargins left="0.7" right="0.7" top="0.75" bottom="0.7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62C9"/>
    <pageSetUpPr fitToPage="1"/>
  </sheetPr>
  <dimension ref="A1:P168"/>
  <sheetViews>
    <sheetView showGridLines="0" zoomScale="90" zoomScaleNormal="90" workbookViewId="0">
      <pane xSplit="5" ySplit="6" topLeftCell="F7" activePane="bottomRight" state="frozen"/>
      <selection pane="topRight" activeCell="F1" sqref="F1"/>
      <selection pane="bottomLeft" activeCell="A7" sqref="A7"/>
      <selection pane="bottomRight"/>
    </sheetView>
  </sheetViews>
  <sheetFormatPr defaultRowHeight="15"/>
  <cols>
    <col min="1" max="1" width="2.7109375" customWidth="1"/>
    <col min="2" max="2" width="46.7109375" customWidth="1"/>
    <col min="3" max="3" width="12.7109375" customWidth="1"/>
    <col min="4" max="4" width="20.7109375" customWidth="1"/>
    <col min="5" max="5" width="2.7109375" customWidth="1"/>
    <col min="6" max="16" width="11.7109375" customWidth="1"/>
    <col min="17" max="17" width="2.7109375" customWidth="1"/>
    <col min="18" max="18" width="60.7109375" customWidth="1"/>
  </cols>
  <sheetData>
    <row r="1" spans="2:16" ht="24" customHeight="1">
      <c r="B1" s="19" t="s">
        <v>60</v>
      </c>
    </row>
    <row r="2" spans="2:16">
      <c r="B2" s="2" t="s">
        <v>61</v>
      </c>
    </row>
    <row r="3" spans="2:16">
      <c r="B3" s="3" t="str">
        <f>"Model running: "&amp;$D$23</f>
        <v>Model running: Prahladnagar | Rent | Toll roasting | Specialty mix | Base case</v>
      </c>
    </row>
    <row r="5" spans="2:16">
      <c r="B5" s="36" t="s">
        <v>62</v>
      </c>
      <c r="C5" s="26" t="s">
        <v>43</v>
      </c>
      <c r="D5" s="37" t="s">
        <v>63</v>
      </c>
      <c r="E5" s="38"/>
      <c r="F5" s="39">
        <f>$D$26</f>
        <v>2027.0</v>
      </c>
      <c r="G5" s="39">
        <f>F5+1</f>
        <v>2028.0</v>
      </c>
      <c r="H5" s="39">
        <f>G5+1</f>
        <v>2029.0</v>
      </c>
      <c r="I5" s="39">
        <f>H5+1</f>
        <v>2030.0</v>
      </c>
      <c r="J5" s="39">
        <f>I5+1</f>
        <v>2031.0</v>
      </c>
      <c r="K5" s="39">
        <f>J5+1</f>
        <v>2032.0</v>
      </c>
      <c r="L5" s="39">
        <f>K5+1</f>
        <v>2033.0</v>
      </c>
      <c r="M5" s="39">
        <f>L5+1</f>
        <v>2034.0</v>
      </c>
      <c r="N5" s="39">
        <f>M5+1</f>
        <v>2035.0</v>
      </c>
      <c r="O5" s="39">
        <f>N5+1</f>
        <v>2036.0</v>
      </c>
      <c r="P5" s="39">
        <f>O5+1</f>
        <v>2037.0</v>
      </c>
    </row>
    <row r="6" spans="2:16">
      <c r="B6" s="2" t="s">
        <v>64</v>
      </c>
      <c r="F6" s="40">
        <f>F5-$D$26</f>
        <v>0.0</v>
      </c>
      <c r="G6" s="40">
        <f>G5-$D$26</f>
        <v>1.0</v>
      </c>
      <c r="H6" s="40">
        <f>H5-$D$26</f>
        <v>2.0</v>
      </c>
      <c r="I6" s="40">
        <f>I5-$D$26</f>
        <v>3.0</v>
      </c>
      <c r="J6" s="40">
        <f>J5-$D$26</f>
        <v>4.0</v>
      </c>
      <c r="K6" s="40">
        <f>K5-$D$26</f>
        <v>5.0</v>
      </c>
      <c r="L6" s="40">
        <f>L5-$D$26</f>
        <v>6.0</v>
      </c>
      <c r="M6" s="40">
        <f>M5-$D$26</f>
        <v>7.0</v>
      </c>
      <c r="N6" s="40">
        <f>N5-$D$26</f>
        <v>8.0</v>
      </c>
      <c r="O6" s="40">
        <f>O5-$D$26</f>
        <v>9.0</v>
      </c>
      <c r="P6" s="40">
        <f>P5-$D$26</f>
        <v>10.0</v>
      </c>
    </row>
    <row r="7" spans="2:16" ht="18" customHeight="1">
      <c r="B7" s="4" t="s">
        <v>65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16">
      <c r="B8" s="20" t="s">
        <v>66</v>
      </c>
      <c r="C8" s="2" t="s">
        <v>67</v>
      </c>
      <c r="D8" s="15" t="s">
        <v>68</v>
      </c>
      <c r="F8" s="2" t="s">
        <v>69</v>
      </c>
    </row>
    <row r="9" spans="2:16">
      <c r="B9" s="20" t="s">
        <v>70</v>
      </c>
      <c r="C9" s="2" t="s">
        <v>67</v>
      </c>
      <c r="D9" s="15" t="s">
        <v>71</v>
      </c>
      <c r="F9" s="2" t="s">
        <v>72</v>
      </c>
    </row>
    <row r="10" spans="2:16">
      <c r="B10" s="20" t="s">
        <v>73</v>
      </c>
      <c r="C10" s="2" t="s">
        <v>67</v>
      </c>
      <c r="D10" s="15" t="s">
        <v>74</v>
      </c>
      <c r="F10" s="2" t="s">
        <v>75</v>
      </c>
    </row>
    <row r="11" spans="2:16">
      <c r="B11" s="20" t="s">
        <v>76</v>
      </c>
      <c r="C11" s="2" t="s">
        <v>67</v>
      </c>
      <c r="D11" s="15" t="s">
        <v>77</v>
      </c>
      <c r="F11" s="2" t="s">
        <v>78</v>
      </c>
    </row>
    <row r="12" spans="2:16">
      <c r="B12" s="20" t="s">
        <v>79</v>
      </c>
      <c r="C12" s="2" t="s">
        <v>67</v>
      </c>
      <c r="D12" s="15" t="s">
        <v>80</v>
      </c>
      <c r="F12" s="2" t="s">
        <v>81</v>
      </c>
    </row>
    <row r="14" spans="2:16">
      <c r="B14" s="41" t="s">
        <v>82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  <row r="15" spans="2:16">
      <c r="B15" s="20" t="s">
        <v>83</v>
      </c>
      <c r="C15" s="2" t="s">
        <v>84</v>
      </c>
      <c r="D15" s="43">
        <f>IF(Scenarios!$D$8&gt;0,Scenarios!$D$8,IF(Scenarios!$D$7&gt;0,MATCH(INDEX(CfgLoc,Scenarios!$D$7),LocList,0),MATCH($D$8,LocList,0)))</f>
        <v>1.0</v>
      </c>
      <c r="F15" s="16" t="str">
        <f>INDEX(LocList,$D$15)</f>
        <v>Prahladnagar</v>
      </c>
    </row>
    <row r="16" spans="2:16">
      <c r="B16" s="20" t="s">
        <v>85</v>
      </c>
      <c r="C16" s="2" t="s">
        <v>84</v>
      </c>
      <c r="D16" s="43">
        <f>IF(Scenarios!$D$9&gt;0,Scenarios!$D$9,IF(Scenarios!$D$7&gt;0,MATCH(INDEX(CfgProp,Scenarios!$D$7),PropList,0),MATCH($D$9,PropList,0)))</f>
        <v>1.0</v>
      </c>
      <c r="F16" s="16" t="str">
        <f>INDEX(PropList,$D$16)</f>
        <v>Rent</v>
      </c>
    </row>
    <row r="17" spans="2:16">
      <c r="B17" s="20" t="s">
        <v>86</v>
      </c>
      <c r="C17" s="2" t="s">
        <v>84</v>
      </c>
      <c r="D17" s="43">
        <f>IF(Scenarios!$D$10&gt;0,Scenarios!$D$10,IF(Scenarios!$D$7&gt;0,MATCH(INDEX(CfgRoast,Scenarios!$D$7),RoastList,0),MATCH($D$10,RoastList,0)))</f>
        <v>2.0</v>
      </c>
      <c r="F17" s="16" t="str">
        <f>INDEX(RoastList,$D$17)</f>
        <v>Toll roasting</v>
      </c>
    </row>
    <row r="18" spans="2:16">
      <c r="B18" s="20" t="s">
        <v>87</v>
      </c>
      <c r="C18" s="2" t="s">
        <v>84</v>
      </c>
      <c r="D18" s="43">
        <f>IF(Scenarios!$D$11&gt;0,Scenarios!$D$11,IF(Scenarios!$D$7&gt;0,MATCH(INDEX(CfgMix,Scenarios!$D$7),MixList,0),MATCH($D$11,MixList,0)))</f>
        <v>2.0</v>
      </c>
      <c r="F18" s="16" t="str">
        <f>INDEX(MixList,$D$18)</f>
        <v>Specialty</v>
      </c>
    </row>
    <row r="19" spans="2:16">
      <c r="B19" s="20" t="s">
        <v>88</v>
      </c>
      <c r="C19" s="2" t="s">
        <v>84</v>
      </c>
      <c r="D19" s="43">
        <f>IF(Scenarios!$D$6&gt;0,Scenarios!$D$6,MATCH($D$12,ScnList,0))</f>
        <v>2.0</v>
      </c>
      <c r="F19" s="16" t="str">
        <f>INDEX(ScnList,$D$19)</f>
        <v>Base</v>
      </c>
    </row>
    <row r="20" spans="2:16">
      <c r="B20" s="20" t="s">
        <v>89</v>
      </c>
      <c r="C20" s="2" t="s">
        <v>90</v>
      </c>
      <c r="D20" s="44">
        <f>IF($D$16=2,1,0)</f>
        <v>0.0</v>
      </c>
    </row>
    <row r="21" spans="2:16">
      <c r="B21" s="20" t="s">
        <v>91</v>
      </c>
      <c r="C21" s="2" t="s">
        <v>90</v>
      </c>
      <c r="D21" s="44">
        <f>IF($D$17=3,1,0)</f>
        <v>0.0</v>
      </c>
    </row>
    <row r="22" spans="2:16">
      <c r="B22" s="20" t="s">
        <v>92</v>
      </c>
      <c r="C22" s="2" t="s">
        <v>90</v>
      </c>
      <c r="D22" s="44">
        <f>IF($D$17&gt;=2,1,0)</f>
        <v>1.0</v>
      </c>
    </row>
    <row r="23" spans="2:16">
      <c r="B23" s="20" t="s">
        <v>93</v>
      </c>
      <c r="C23" s="2" t="s">
        <v>94</v>
      </c>
      <c r="D23" s="7" t="str">
        <f>$F$15&amp;" | "&amp;$F$16&amp;" | "&amp;$F$17&amp;" | "&amp;$F$18&amp;" mix | "&amp;$F$19&amp;" case"</f>
        <v>Prahladnagar | Rent | Toll roasting | Specialty mix | Base case</v>
      </c>
    </row>
    <row r="25" spans="2:16" ht="18" customHeight="1">
      <c r="B25" s="4" t="s">
        <v>95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2:16">
      <c r="B26" s="20" t="s">
        <v>96</v>
      </c>
      <c r="C26" s="2" t="s">
        <v>97</v>
      </c>
      <c r="D26" s="45">
        <v>2027</v>
      </c>
      <c r="F26" s="2" t="s">
        <v>98</v>
      </c>
    </row>
    <row r="27" spans="2:16">
      <c r="B27" s="20" t="s">
        <v>99</v>
      </c>
      <c r="C27" s="2" t="s">
        <v>100</v>
      </c>
      <c r="D27" s="46">
        <v>100000</v>
      </c>
    </row>
    <row r="28" spans="2:16">
      <c r="B28" s="20" t="s">
        <v>101</v>
      </c>
      <c r="C28" s="2" t="s">
        <v>102</v>
      </c>
      <c r="D28" s="47">
        <v>0.25168</v>
      </c>
      <c r="F28" s="2" t="s">
        <v>103</v>
      </c>
    </row>
    <row r="30" spans="2:16" ht="18" customHeight="1">
      <c r="B30" s="4" t="s">
        <v>104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2:16">
      <c r="B31" s="41" t="s">
        <v>105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</row>
    <row r="32" spans="2:16">
      <c r="B32" s="20" t="s">
        <v>106</v>
      </c>
      <c r="C32" s="2" t="s">
        <v>102</v>
      </c>
      <c r="F32" s="48"/>
      <c r="G32" s="49">
        <v>0.8</v>
      </c>
      <c r="H32" s="49">
        <v>0.95</v>
      </c>
      <c r="I32" s="49">
        <v>1</v>
      </c>
      <c r="J32" s="49">
        <v>1</v>
      </c>
      <c r="K32" s="49">
        <v>1</v>
      </c>
      <c r="L32" s="49">
        <v>1</v>
      </c>
      <c r="M32" s="49">
        <v>1</v>
      </c>
      <c r="N32" s="49">
        <v>1</v>
      </c>
      <c r="O32" s="49">
        <v>1</v>
      </c>
      <c r="P32" s="49">
        <v>1</v>
      </c>
    </row>
    <row r="33" spans="2:16">
      <c r="B33" s="20" t="s">
        <v>80</v>
      </c>
      <c r="C33" s="2" t="s">
        <v>102</v>
      </c>
      <c r="F33" s="48"/>
      <c r="G33" s="49">
        <v>0.65</v>
      </c>
      <c r="H33" s="49">
        <v>0.85</v>
      </c>
      <c r="I33" s="49">
        <v>1</v>
      </c>
      <c r="J33" s="49">
        <v>1</v>
      </c>
      <c r="K33" s="49">
        <v>1</v>
      </c>
      <c r="L33" s="49">
        <v>1</v>
      </c>
      <c r="M33" s="49">
        <v>1</v>
      </c>
      <c r="N33" s="49">
        <v>1</v>
      </c>
      <c r="O33" s="49">
        <v>1</v>
      </c>
      <c r="P33" s="49">
        <v>1</v>
      </c>
    </row>
    <row r="34" spans="2:16">
      <c r="B34" s="20" t="s">
        <v>107</v>
      </c>
      <c r="C34" s="2" t="s">
        <v>102</v>
      </c>
      <c r="F34" s="48"/>
      <c r="G34" s="49">
        <v>0.5</v>
      </c>
      <c r="H34" s="49">
        <v>0.7</v>
      </c>
      <c r="I34" s="49">
        <v>0.88</v>
      </c>
      <c r="J34" s="49">
        <v>0.95</v>
      </c>
      <c r="K34" s="49">
        <v>0.95</v>
      </c>
      <c r="L34" s="49">
        <v>0.95</v>
      </c>
      <c r="M34" s="49">
        <v>0.95</v>
      </c>
      <c r="N34" s="49">
        <v>0.95</v>
      </c>
      <c r="O34" s="49">
        <v>0.95</v>
      </c>
      <c r="P34" s="49">
        <v>0.95</v>
      </c>
    </row>
    <row r="35" spans="2:16">
      <c r="B35" s="16" t="s">
        <v>108</v>
      </c>
      <c r="C35" s="2" t="s">
        <v>102</v>
      </c>
      <c r="F35" s="50"/>
      <c r="G35" s="51">
        <f>CHOOSE($D$19,G32,G33,G34)</f>
        <v>0.65</v>
      </c>
      <c r="H35" s="51">
        <f>CHOOSE($D$19,H32,H33,H34)</f>
        <v>0.85</v>
      </c>
      <c r="I35" s="51">
        <f>CHOOSE($D$19,I32,I33,I34)</f>
        <v>1.0</v>
      </c>
      <c r="J35" s="51">
        <f>CHOOSE($D$19,J32,J33,J34)</f>
        <v>1.0</v>
      </c>
      <c r="K35" s="51">
        <f>CHOOSE($D$19,K32,K33,K34)</f>
        <v>1.0</v>
      </c>
      <c r="L35" s="51">
        <f>CHOOSE($D$19,L32,L33,L34)</f>
        <v>1.0</v>
      </c>
      <c r="M35" s="51">
        <f>CHOOSE($D$19,M32,M33,M34)</f>
        <v>1.0</v>
      </c>
      <c r="N35" s="51">
        <f>CHOOSE($D$19,N32,N33,N34)</f>
        <v>1.0</v>
      </c>
      <c r="O35" s="51">
        <f>CHOOSE($D$19,O32,O33,O34)</f>
        <v>1.0</v>
      </c>
      <c r="P35" s="51">
        <f>CHOOSE($D$19,P32,P33,P34)</f>
        <v>1.0</v>
      </c>
    </row>
    <row r="36" spans="2:16">
      <c r="B36" s="41" t="s">
        <v>109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</row>
    <row r="37" spans="2:16">
      <c r="B37" s="20" t="s">
        <v>106</v>
      </c>
      <c r="C37" s="2" t="s">
        <v>110</v>
      </c>
      <c r="F37" s="48"/>
      <c r="G37" s="49">
        <v>0</v>
      </c>
      <c r="H37" s="49">
        <v>0.06</v>
      </c>
      <c r="I37" s="49">
        <v>0.06</v>
      </c>
      <c r="J37" s="49">
        <v>0.06</v>
      </c>
      <c r="K37" s="49">
        <v>0.06</v>
      </c>
      <c r="L37" s="49">
        <v>0.06</v>
      </c>
      <c r="M37" s="49">
        <v>0.06</v>
      </c>
      <c r="N37" s="49">
        <v>0.06</v>
      </c>
      <c r="O37" s="49">
        <v>0.06</v>
      </c>
      <c r="P37" s="49">
        <v>0.06</v>
      </c>
    </row>
    <row r="38" spans="2:16">
      <c r="B38" s="20" t="s">
        <v>80</v>
      </c>
      <c r="C38" s="2" t="s">
        <v>110</v>
      </c>
      <c r="F38" s="48"/>
      <c r="G38" s="49">
        <v>0</v>
      </c>
      <c r="H38" s="49">
        <v>0.05</v>
      </c>
      <c r="I38" s="49">
        <v>0.05</v>
      </c>
      <c r="J38" s="49">
        <v>0.05</v>
      </c>
      <c r="K38" s="49">
        <v>0.05</v>
      </c>
      <c r="L38" s="49">
        <v>0.05</v>
      </c>
      <c r="M38" s="49">
        <v>0.05</v>
      </c>
      <c r="N38" s="49">
        <v>0.05</v>
      </c>
      <c r="O38" s="49">
        <v>0.05</v>
      </c>
      <c r="P38" s="49">
        <v>0.05</v>
      </c>
    </row>
    <row r="39" spans="2:16">
      <c r="B39" s="20" t="s">
        <v>107</v>
      </c>
      <c r="C39" s="2" t="s">
        <v>110</v>
      </c>
      <c r="F39" s="48"/>
      <c r="G39" s="49">
        <v>0</v>
      </c>
      <c r="H39" s="49">
        <v>0.035</v>
      </c>
      <c r="I39" s="49">
        <v>0.035</v>
      </c>
      <c r="J39" s="49">
        <v>0.035</v>
      </c>
      <c r="K39" s="49">
        <v>0.035</v>
      </c>
      <c r="L39" s="49">
        <v>0.035</v>
      </c>
      <c r="M39" s="49">
        <v>0.035</v>
      </c>
      <c r="N39" s="49">
        <v>0.035</v>
      </c>
      <c r="O39" s="49">
        <v>0.035</v>
      </c>
      <c r="P39" s="49">
        <v>0.035</v>
      </c>
    </row>
    <row r="40" spans="2:16">
      <c r="B40" s="16" t="s">
        <v>108</v>
      </c>
      <c r="C40" s="2" t="s">
        <v>110</v>
      </c>
      <c r="F40" s="50"/>
      <c r="G40" s="51">
        <f>CHOOSE($D$19,G37,G38,G39)</f>
        <v>0.0</v>
      </c>
      <c r="H40" s="51">
        <f>CHOOSE($D$19,H37,H38,H39)</f>
        <v>0.05</v>
      </c>
      <c r="I40" s="51">
        <f>CHOOSE($D$19,I37,I38,I39)</f>
        <v>0.05</v>
      </c>
      <c r="J40" s="51">
        <f>CHOOSE($D$19,J37,J38,J39)</f>
        <v>0.05</v>
      </c>
      <c r="K40" s="51">
        <f>CHOOSE($D$19,K37,K38,K39)</f>
        <v>0.05</v>
      </c>
      <c r="L40" s="51">
        <f>CHOOSE($D$19,L37,L38,L39)</f>
        <v>0.05</v>
      </c>
      <c r="M40" s="51">
        <f>CHOOSE($D$19,M37,M38,M39)</f>
        <v>0.05</v>
      </c>
      <c r="N40" s="51">
        <f>CHOOSE($D$19,N37,N38,N39)</f>
        <v>0.05</v>
      </c>
      <c r="O40" s="51">
        <f>CHOOSE($D$19,O37,O38,O39)</f>
        <v>0.05</v>
      </c>
      <c r="P40" s="51">
        <f>CHOOSE($D$19,P37,P38,P39)</f>
        <v>0.05</v>
      </c>
    </row>
    <row r="41" spans="2:16">
      <c r="B41" s="41" t="s">
        <v>111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</row>
    <row r="42" spans="2:16">
      <c r="B42" s="20" t="s">
        <v>106</v>
      </c>
      <c r="C42" s="2" t="s">
        <v>110</v>
      </c>
      <c r="F42" s="48"/>
      <c r="G42" s="49">
        <v>0</v>
      </c>
      <c r="H42" s="49">
        <v>0</v>
      </c>
      <c r="I42" s="49">
        <v>0</v>
      </c>
      <c r="J42" s="49">
        <v>0.04</v>
      </c>
      <c r="K42" s="49">
        <v>0.04</v>
      </c>
      <c r="L42" s="49">
        <v>0.04</v>
      </c>
      <c r="M42" s="49">
        <v>0.04</v>
      </c>
      <c r="N42" s="49">
        <v>0.04</v>
      </c>
      <c r="O42" s="49">
        <v>0.04</v>
      </c>
      <c r="P42" s="49">
        <v>0.04</v>
      </c>
    </row>
    <row r="43" spans="2:16">
      <c r="B43" s="20" t="s">
        <v>80</v>
      </c>
      <c r="C43" s="2" t="s">
        <v>110</v>
      </c>
      <c r="F43" s="48"/>
      <c r="G43" s="49">
        <v>0</v>
      </c>
      <c r="H43" s="49">
        <v>0</v>
      </c>
      <c r="I43" s="49">
        <v>0</v>
      </c>
      <c r="J43" s="49">
        <v>0.025</v>
      </c>
      <c r="K43" s="49">
        <v>0.025</v>
      </c>
      <c r="L43" s="49">
        <v>0.025</v>
      </c>
      <c r="M43" s="49">
        <v>0.025</v>
      </c>
      <c r="N43" s="49">
        <v>0.025</v>
      </c>
      <c r="O43" s="49">
        <v>0.025</v>
      </c>
      <c r="P43" s="49">
        <v>0.025</v>
      </c>
    </row>
    <row r="44" spans="2:16">
      <c r="B44" s="20" t="s">
        <v>107</v>
      </c>
      <c r="C44" s="2" t="s">
        <v>110</v>
      </c>
      <c r="F44" s="48"/>
      <c r="G44" s="49">
        <v>0</v>
      </c>
      <c r="H44" s="49">
        <v>0</v>
      </c>
      <c r="I44" s="49">
        <v>0</v>
      </c>
      <c r="J44" s="49">
        <v>0.005</v>
      </c>
      <c r="K44" s="49">
        <v>0.005</v>
      </c>
      <c r="L44" s="49">
        <v>0.005</v>
      </c>
      <c r="M44" s="49">
        <v>0.005</v>
      </c>
      <c r="N44" s="49">
        <v>0.005</v>
      </c>
      <c r="O44" s="49">
        <v>0.005</v>
      </c>
      <c r="P44" s="49">
        <v>0.005</v>
      </c>
    </row>
    <row r="45" spans="2:16">
      <c r="B45" s="16" t="s">
        <v>108</v>
      </c>
      <c r="C45" s="2" t="s">
        <v>110</v>
      </c>
      <c r="F45" s="50"/>
      <c r="G45" s="51">
        <f>CHOOSE($D$19,G42,G43,G44)</f>
        <v>0.0</v>
      </c>
      <c r="H45" s="51">
        <f>CHOOSE($D$19,H42,H43,H44)</f>
        <v>0.0</v>
      </c>
      <c r="I45" s="51">
        <f>CHOOSE($D$19,I42,I43,I44)</f>
        <v>0.0</v>
      </c>
      <c r="J45" s="51">
        <f>CHOOSE($D$19,J42,J43,J44)</f>
        <v>0.025</v>
      </c>
      <c r="K45" s="51">
        <f>CHOOSE($D$19,K42,K43,K44)</f>
        <v>0.025</v>
      </c>
      <c r="L45" s="51">
        <f>CHOOSE($D$19,L42,L43,L44)</f>
        <v>0.025</v>
      </c>
      <c r="M45" s="51">
        <f>CHOOSE($D$19,M42,M43,M44)</f>
        <v>0.025</v>
      </c>
      <c r="N45" s="51">
        <f>CHOOSE($D$19,N42,N43,N44)</f>
        <v>0.025</v>
      </c>
      <c r="O45" s="51">
        <f>CHOOSE($D$19,O42,O43,O44)</f>
        <v>0.025</v>
      </c>
      <c r="P45" s="51">
        <f>CHOOSE($D$19,P42,P43,P44)</f>
        <v>0.025</v>
      </c>
    </row>
    <row r="46" spans="2:16">
      <c r="B46" s="41" t="s">
        <v>112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pans="2:16">
      <c r="B47" s="20" t="s">
        <v>106</v>
      </c>
      <c r="C47" s="2" t="s">
        <v>113</v>
      </c>
      <c r="F47" s="52"/>
      <c r="G47" s="53">
        <v>0.9</v>
      </c>
      <c r="H47" s="53">
        <v>0.927</v>
      </c>
      <c r="I47" s="53">
        <v>0.9548</v>
      </c>
      <c r="J47" s="53">
        <v>0.9835</v>
      </c>
      <c r="K47" s="53">
        <v>1.013</v>
      </c>
      <c r="L47" s="53">
        <v>1.0433</v>
      </c>
      <c r="M47" s="53">
        <v>1.0746</v>
      </c>
      <c r="N47" s="53">
        <v>1.1069</v>
      </c>
      <c r="O47" s="53">
        <v>1.1401</v>
      </c>
      <c r="P47" s="53">
        <v>1.1743</v>
      </c>
    </row>
    <row r="48" spans="2:16">
      <c r="B48" s="20" t="s">
        <v>80</v>
      </c>
      <c r="C48" s="2" t="s">
        <v>113</v>
      </c>
      <c r="F48" s="52"/>
      <c r="G48" s="53">
        <v>1</v>
      </c>
      <c r="H48" s="53">
        <v>1.03</v>
      </c>
      <c r="I48" s="53">
        <v>1.0609</v>
      </c>
      <c r="J48" s="53">
        <v>1.0927</v>
      </c>
      <c r="K48" s="53">
        <v>1.1255</v>
      </c>
      <c r="L48" s="53">
        <v>1.1593</v>
      </c>
      <c r="M48" s="53">
        <v>1.1941</v>
      </c>
      <c r="N48" s="53">
        <v>1.2299</v>
      </c>
      <c r="O48" s="53">
        <v>1.2668</v>
      </c>
      <c r="P48" s="53">
        <v>1.3048</v>
      </c>
    </row>
    <row r="49" spans="2:16">
      <c r="B49" s="20" t="s">
        <v>107</v>
      </c>
      <c r="C49" s="2" t="s">
        <v>113</v>
      </c>
      <c r="F49" s="52"/>
      <c r="G49" s="53">
        <v>1.25</v>
      </c>
      <c r="H49" s="53">
        <v>1.2875</v>
      </c>
      <c r="I49" s="53">
        <v>1.3261</v>
      </c>
      <c r="J49" s="53">
        <v>1.3659</v>
      </c>
      <c r="K49" s="53">
        <v>1.4069</v>
      </c>
      <c r="L49" s="53">
        <v>1.4491</v>
      </c>
      <c r="M49" s="53">
        <v>1.4926</v>
      </c>
      <c r="N49" s="53">
        <v>1.5373</v>
      </c>
      <c r="O49" s="53">
        <v>1.5835</v>
      </c>
      <c r="P49" s="53">
        <v>1.631</v>
      </c>
    </row>
    <row r="50" spans="2:16">
      <c r="B50" s="16" t="s">
        <v>108</v>
      </c>
      <c r="C50" s="2" t="s">
        <v>113</v>
      </c>
      <c r="F50" s="54"/>
      <c r="G50" s="55">
        <f>CHOOSE($D$19,G47,G48,G49)</f>
        <v>1.0</v>
      </c>
      <c r="H50" s="55">
        <f>CHOOSE($D$19,H47,H48,H49)</f>
        <v>1.03</v>
      </c>
      <c r="I50" s="55">
        <f>CHOOSE($D$19,I47,I48,I49)</f>
        <v>1.0609</v>
      </c>
      <c r="J50" s="55">
        <f>CHOOSE($D$19,J47,J48,J49)</f>
        <v>1.0927</v>
      </c>
      <c r="K50" s="55">
        <f>CHOOSE($D$19,K47,K48,K49)</f>
        <v>1.1255</v>
      </c>
      <c r="L50" s="55">
        <f>CHOOSE($D$19,L47,L48,L49)</f>
        <v>1.1593</v>
      </c>
      <c r="M50" s="55">
        <f>CHOOSE($D$19,M47,M48,M49)</f>
        <v>1.1941</v>
      </c>
      <c r="N50" s="55">
        <f>CHOOSE($D$19,N47,N48,N49)</f>
        <v>1.2299</v>
      </c>
      <c r="O50" s="55">
        <f>CHOOSE($D$19,O47,O48,O49)</f>
        <v>1.2668</v>
      </c>
      <c r="P50" s="55">
        <f>CHOOSE($D$19,P47,P48,P49)</f>
        <v>1.3048</v>
      </c>
    </row>
    <row r="51" spans="2:16">
      <c r="B51" s="41" t="s">
        <v>114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</row>
    <row r="52" spans="2:16">
      <c r="B52" s="20" t="s">
        <v>115</v>
      </c>
      <c r="C52" s="2" t="s">
        <v>102</v>
      </c>
      <c r="F52" s="48"/>
      <c r="G52" s="49">
        <v>0.3</v>
      </c>
      <c r="H52" s="49">
        <v>0.6</v>
      </c>
      <c r="I52" s="49">
        <v>1</v>
      </c>
      <c r="J52" s="49">
        <v>1</v>
      </c>
      <c r="K52" s="49">
        <v>1</v>
      </c>
      <c r="L52" s="49">
        <v>1</v>
      </c>
      <c r="M52" s="49">
        <v>1</v>
      </c>
      <c r="N52" s="49">
        <v>1</v>
      </c>
      <c r="O52" s="49">
        <v>1</v>
      </c>
      <c r="P52" s="49">
        <v>1</v>
      </c>
    </row>
    <row r="54" spans="2:16">
      <c r="B54" s="26" t="s">
        <v>116</v>
      </c>
      <c r="C54" s="56" t="s">
        <v>43</v>
      </c>
      <c r="D54" s="56" t="s">
        <v>108</v>
      </c>
      <c r="F54" s="56" t="s">
        <v>106</v>
      </c>
      <c r="G54" s="56" t="s">
        <v>80</v>
      </c>
      <c r="H54" s="56" t="s">
        <v>107</v>
      </c>
    </row>
    <row r="55" spans="2:16">
      <c r="B55" s="20" t="s">
        <v>117</v>
      </c>
      <c r="C55" s="2" t="s">
        <v>113</v>
      </c>
      <c r="D55" s="57">
        <f>CHOOSE($D$19,$F$55,$G$55,$H$55)</f>
        <v>1.0</v>
      </c>
      <c r="F55" s="58">
        <v>1.15</v>
      </c>
      <c r="G55" s="58">
        <v>1</v>
      </c>
      <c r="H55" s="58">
        <v>0.82</v>
      </c>
    </row>
    <row r="56" spans="2:16">
      <c r="B56" s="20" t="s">
        <v>118</v>
      </c>
      <c r="C56" s="2" t="s">
        <v>102</v>
      </c>
      <c r="D56" s="51">
        <f>CHOOSE($D$19,$F$56,$G$56,$H$56)</f>
        <v>0.05</v>
      </c>
      <c r="F56" s="49">
        <v>0</v>
      </c>
      <c r="G56" s="49">
        <v>0.05</v>
      </c>
      <c r="H56" s="49">
        <v>0.15</v>
      </c>
    </row>
    <row r="57" spans="2:16">
      <c r="B57" s="20" t="s">
        <v>119</v>
      </c>
      <c r="C57" s="2" t="s">
        <v>120</v>
      </c>
      <c r="D57" s="59">
        <f>CHOOSE($D$19,$F$57,$G$57,$H$57)</f>
        <v>150.0</v>
      </c>
      <c r="F57" s="46">
        <v>250</v>
      </c>
      <c r="G57" s="46">
        <v>150</v>
      </c>
      <c r="H57" s="46">
        <v>60</v>
      </c>
    </row>
    <row r="59" spans="2:16" ht="18" customHeight="1">
      <c r="B59" s="4" t="s">
        <v>121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2:16">
      <c r="B60" s="20" t="s">
        <v>122</v>
      </c>
      <c r="C60" s="2" t="s">
        <v>102</v>
      </c>
      <c r="D60" s="49">
        <v>0.62</v>
      </c>
    </row>
    <row r="61" spans="2:16">
      <c r="B61" s="20" t="s">
        <v>123</v>
      </c>
      <c r="C61" s="2" t="s">
        <v>102</v>
      </c>
      <c r="D61" s="49">
        <v>0.06</v>
      </c>
    </row>
    <row r="62" spans="2:16">
      <c r="B62" s="20" t="s">
        <v>124</v>
      </c>
      <c r="C62" s="2" t="s">
        <v>102</v>
      </c>
      <c r="D62" s="49">
        <v>0.02</v>
      </c>
      <c r="F62" s="2" t="s">
        <v>125</v>
      </c>
    </row>
    <row r="63" spans="2:16">
      <c r="B63" s="20" t="s">
        <v>126</v>
      </c>
      <c r="C63" s="2" t="s">
        <v>100</v>
      </c>
      <c r="D63" s="46">
        <v>220</v>
      </c>
      <c r="F63" s="2" t="s">
        <v>127</v>
      </c>
    </row>
    <row r="64" spans="2:16">
      <c r="B64" s="20" t="s">
        <v>128</v>
      </c>
      <c r="C64" s="2" t="s">
        <v>102</v>
      </c>
      <c r="D64" s="49">
        <v>0.85</v>
      </c>
    </row>
    <row r="65" spans="2:16">
      <c r="B65" s="20" t="s">
        <v>129</v>
      </c>
      <c r="C65" s="2" t="s">
        <v>130</v>
      </c>
      <c r="D65" s="46">
        <v>18</v>
      </c>
      <c r="F65" s="2" t="s">
        <v>131</v>
      </c>
    </row>
    <row r="66" spans="2:16">
      <c r="B66" s="20" t="s">
        <v>132</v>
      </c>
      <c r="C66" s="2" t="s">
        <v>100</v>
      </c>
      <c r="D66" s="46">
        <v>24</v>
      </c>
    </row>
    <row r="67" spans="2:16">
      <c r="B67" s="20" t="s">
        <v>133</v>
      </c>
      <c r="C67" s="2" t="s">
        <v>102</v>
      </c>
      <c r="D67" s="49">
        <v>0.25</v>
      </c>
    </row>
    <row r="68" spans="2:16">
      <c r="B68" s="20" t="s">
        <v>134</v>
      </c>
      <c r="C68" s="2" t="s">
        <v>100</v>
      </c>
      <c r="D68" s="46">
        <v>15</v>
      </c>
    </row>
    <row r="69" spans="2:16">
      <c r="B69" s="20" t="s">
        <v>135</v>
      </c>
      <c r="C69" s="2" t="s">
        <v>102</v>
      </c>
      <c r="D69" s="49">
        <v>0.38</v>
      </c>
    </row>
    <row r="70" spans="2:16">
      <c r="B70" s="20" t="s">
        <v>136</v>
      </c>
      <c r="C70" s="2" t="s">
        <v>102</v>
      </c>
      <c r="D70" s="49">
        <v>0.3</v>
      </c>
    </row>
    <row r="71" spans="2:16">
      <c r="B71" s="20" t="s">
        <v>137</v>
      </c>
      <c r="C71" s="2" t="s">
        <v>138</v>
      </c>
      <c r="D71" s="49">
        <v>0.08</v>
      </c>
    </row>
    <row r="72" spans="2:16">
      <c r="B72" s="20" t="s">
        <v>139</v>
      </c>
      <c r="C72" s="2" t="s">
        <v>110</v>
      </c>
      <c r="D72" s="49">
        <v>0.05</v>
      </c>
    </row>
    <row r="73" spans="2:16">
      <c r="B73" s="20" t="s">
        <v>140</v>
      </c>
      <c r="C73" s="2" t="s">
        <v>110</v>
      </c>
      <c r="D73" s="49">
        <v>0.05</v>
      </c>
    </row>
    <row r="74" spans="2:16">
      <c r="B74" s="20" t="s">
        <v>141</v>
      </c>
      <c r="C74" s="2" t="s">
        <v>113</v>
      </c>
      <c r="D74" s="58">
        <v>6</v>
      </c>
      <c r="F74" s="2" t="s">
        <v>142</v>
      </c>
    </row>
    <row r="75" spans="2:16">
      <c r="B75" s="41" t="s">
        <v>143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2:16">
      <c r="B76" s="20" t="s">
        <v>144</v>
      </c>
      <c r="C76" s="2" t="s">
        <v>102</v>
      </c>
      <c r="D76" s="60">
        <f>$D$61+$D$22*$D$62</f>
        <v>0.08</v>
      </c>
    </row>
    <row r="77" spans="2:16">
      <c r="B77" s="20" t="s">
        <v>145</v>
      </c>
      <c r="C77" s="2" t="s">
        <v>102</v>
      </c>
      <c r="D77" s="60">
        <f>1-$D$60-$D$76</f>
        <v>0.3</v>
      </c>
    </row>
    <row r="78" spans="2:16">
      <c r="B78" s="20" t="s">
        <v>146</v>
      </c>
      <c r="C78" s="2" t="s">
        <v>84</v>
      </c>
      <c r="D78" s="61">
        <f>Locations!$H$14*$D$60/$D$63</f>
        <v>0.9018181818181819</v>
      </c>
    </row>
    <row r="80" spans="2:16" ht="18" customHeight="1">
      <c r="B80" s="4" t="s">
        <v>147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2:7">
      <c r="B81" s="56" t="s">
        <v>148</v>
      </c>
      <c r="C81" s="56" t="s">
        <v>149</v>
      </c>
      <c r="D81" s="56" t="s">
        <v>150</v>
      </c>
      <c r="F81" s="56" t="s">
        <v>151</v>
      </c>
      <c r="G81" s="56" t="s">
        <v>152</v>
      </c>
    </row>
    <row r="82" spans="2:7">
      <c r="B82" s="20" t="s">
        <v>153</v>
      </c>
      <c r="C82" s="46">
        <v>1</v>
      </c>
      <c r="D82" s="46">
        <v>45000</v>
      </c>
      <c r="F82" s="62">
        <v>0</v>
      </c>
      <c r="G82" s="63">
        <f>C82*D82</f>
        <v>45000.0</v>
      </c>
    </row>
    <row r="83" spans="2:7">
      <c r="B83" s="20" t="s">
        <v>154</v>
      </c>
      <c r="C83" s="46">
        <v>1</v>
      </c>
      <c r="D83" s="46">
        <v>30000</v>
      </c>
      <c r="F83" s="62">
        <v>0</v>
      </c>
      <c r="G83" s="63">
        <f>C83*D83</f>
        <v>30000.0</v>
      </c>
    </row>
    <row r="84" spans="2:7">
      <c r="B84" s="20" t="s">
        <v>155</v>
      </c>
      <c r="C84" s="46">
        <v>4</v>
      </c>
      <c r="D84" s="46">
        <v>19000</v>
      </c>
      <c r="F84" s="62">
        <v>0</v>
      </c>
      <c r="G84" s="63">
        <f>C84*D84</f>
        <v>76000.0</v>
      </c>
    </row>
    <row r="85" spans="2:7">
      <c r="B85" s="20" t="s">
        <v>156</v>
      </c>
      <c r="C85" s="46">
        <v>1</v>
      </c>
      <c r="D85" s="46">
        <v>28000</v>
      </c>
      <c r="F85" s="62">
        <v>0</v>
      </c>
      <c r="G85" s="63">
        <f>C85*D85</f>
        <v>28000.0</v>
      </c>
    </row>
    <row r="86" spans="2:7">
      <c r="B86" s="20" t="s">
        <v>157</v>
      </c>
      <c r="C86" s="46">
        <v>2</v>
      </c>
      <c r="D86" s="46">
        <v>16000</v>
      </c>
      <c r="F86" s="62">
        <v>0</v>
      </c>
      <c r="G86" s="63">
        <f>C86*D86</f>
        <v>32000.0</v>
      </c>
    </row>
    <row r="87" spans="2:7">
      <c r="B87" s="20" t="s">
        <v>158</v>
      </c>
      <c r="C87" s="46">
        <v>3</v>
      </c>
      <c r="D87" s="46">
        <v>15000</v>
      </c>
      <c r="F87" s="62">
        <v>0</v>
      </c>
      <c r="G87" s="63">
        <f>C87*D87</f>
        <v>45000.0</v>
      </c>
    </row>
    <row r="88" spans="2:7">
      <c r="B88" s="20" t="s">
        <v>159</v>
      </c>
      <c r="C88" s="46">
        <v>2</v>
      </c>
      <c r="D88" s="46">
        <v>13500</v>
      </c>
      <c r="F88" s="62">
        <v>0</v>
      </c>
      <c r="G88" s="63">
        <f>C88*D88</f>
        <v>27000.0</v>
      </c>
    </row>
    <row r="89" spans="2:7">
      <c r="B89" s="20" t="s">
        <v>160</v>
      </c>
      <c r="C89" s="46">
        <v>1</v>
      </c>
      <c r="D89" s="46">
        <v>32000</v>
      </c>
      <c r="F89" s="62">
        <v>1</v>
      </c>
      <c r="G89" s="63">
        <f>C89*D89</f>
        <v>32000.0</v>
      </c>
    </row>
    <row r="90" spans="2:7">
      <c r="B90" s="20" t="s">
        <v>161</v>
      </c>
      <c r="C90" s="2" t="s">
        <v>100</v>
      </c>
      <c r="D90" s="63">
        <f>SUMPRODUCT($C$82:$C$89,$D$82:$D$89,1-$F$82:$F$89)</f>
        <v>283000.0</v>
      </c>
    </row>
    <row r="91" spans="2:7">
      <c r="B91" s="20" t="s">
        <v>162</v>
      </c>
      <c r="C91" s="2" t="s">
        <v>100</v>
      </c>
      <c r="D91" s="63">
        <f>SUMPRODUCT($C$82:$C$89,$D$82:$D$89,$F$82:$F$89)</f>
        <v>32000.0</v>
      </c>
    </row>
    <row r="92" spans="2:7">
      <c r="B92" s="20" t="s">
        <v>163</v>
      </c>
      <c r="C92" s="2" t="s">
        <v>164</v>
      </c>
      <c r="D92" s="49">
        <v>0.15</v>
      </c>
    </row>
    <row r="93" spans="2:7">
      <c r="B93" s="20" t="s">
        <v>165</v>
      </c>
      <c r="C93" s="2" t="s">
        <v>110</v>
      </c>
      <c r="D93" s="49">
        <v>0.08</v>
      </c>
      <c r="F93" s="2" t="s">
        <v>166</v>
      </c>
    </row>
    <row r="94" spans="2:7">
      <c r="B94" s="20" t="s">
        <v>167</v>
      </c>
      <c r="C94" s="2" t="s">
        <v>102</v>
      </c>
      <c r="D94" s="49">
        <v>0.5</v>
      </c>
    </row>
    <row r="95" spans="2:7">
      <c r="B95" s="16" t="s">
        <v>168</v>
      </c>
      <c r="C95" s="2" t="s">
        <v>100</v>
      </c>
      <c r="D95" s="24">
        <f>$D$90*Locations!$H$18+$D$21*$D$91</f>
        <v>283000.0</v>
      </c>
    </row>
    <row r="97" spans="2:16" ht="18" customHeight="1">
      <c r="B97" s="4" t="s">
        <v>169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2:16">
      <c r="B98" s="20" t="s">
        <v>170</v>
      </c>
      <c r="C98" s="2" t="s">
        <v>171</v>
      </c>
      <c r="D98" s="58">
        <v>5</v>
      </c>
    </row>
    <row r="99" spans="2:16">
      <c r="B99" s="20" t="s">
        <v>172</v>
      </c>
      <c r="C99" s="2" t="s">
        <v>173</v>
      </c>
      <c r="D99" s="64">
        <v>9.5</v>
      </c>
      <c r="F99" s="2" t="s">
        <v>174</v>
      </c>
    </row>
    <row r="100" spans="2:16">
      <c r="B100" s="20" t="s">
        <v>175</v>
      </c>
      <c r="C100" s="2" t="s">
        <v>110</v>
      </c>
      <c r="D100" s="49">
        <v>0.04</v>
      </c>
    </row>
    <row r="101" spans="2:16">
      <c r="B101" s="20" t="s">
        <v>176</v>
      </c>
      <c r="C101" s="2" t="s">
        <v>177</v>
      </c>
      <c r="D101" s="46">
        <v>15000</v>
      </c>
    </row>
    <row r="102" spans="2:16">
      <c r="B102" s="20" t="s">
        <v>178</v>
      </c>
      <c r="C102" s="2" t="s">
        <v>179</v>
      </c>
      <c r="D102" s="49">
        <v>0.05</v>
      </c>
    </row>
    <row r="103" spans="2:16">
      <c r="B103" s="20" t="s">
        <v>180</v>
      </c>
      <c r="C103" s="2" t="s">
        <v>179</v>
      </c>
      <c r="D103" s="49">
        <v>0.03</v>
      </c>
    </row>
    <row r="104" spans="2:16">
      <c r="B104" s="20" t="s">
        <v>181</v>
      </c>
      <c r="C104" s="2" t="s">
        <v>179</v>
      </c>
      <c r="D104" s="49">
        <v>0.015</v>
      </c>
    </row>
    <row r="105" spans="2:16">
      <c r="B105" s="20" t="s">
        <v>182</v>
      </c>
      <c r="C105" s="2" t="s">
        <v>183</v>
      </c>
      <c r="D105" s="46">
        <v>60000</v>
      </c>
    </row>
    <row r="106" spans="2:16">
      <c r="B106" s="20" t="s">
        <v>184</v>
      </c>
      <c r="C106" s="2" t="s">
        <v>183</v>
      </c>
      <c r="D106" s="46">
        <v>60000</v>
      </c>
    </row>
    <row r="107" spans="2:16">
      <c r="B107" s="20" t="s">
        <v>185</v>
      </c>
      <c r="C107" s="2" t="s">
        <v>186</v>
      </c>
      <c r="D107" s="49">
        <v>0.25</v>
      </c>
      <c r="F107" s="2" t="s">
        <v>187</v>
      </c>
    </row>
    <row r="108" spans="2:16">
      <c r="B108" s="20" t="s">
        <v>188</v>
      </c>
      <c r="C108" s="2" t="s">
        <v>189</v>
      </c>
      <c r="D108" s="49">
        <v>0.007</v>
      </c>
    </row>
    <row r="109" spans="2:16">
      <c r="B109" s="20" t="s">
        <v>190</v>
      </c>
      <c r="C109" s="2" t="s">
        <v>183</v>
      </c>
      <c r="D109" s="46">
        <v>300000</v>
      </c>
    </row>
    <row r="110" spans="2:16">
      <c r="B110" s="20" t="s">
        <v>191</v>
      </c>
      <c r="C110" s="2" t="s">
        <v>179</v>
      </c>
      <c r="D110" s="49">
        <v>0.01</v>
      </c>
    </row>
    <row r="111" spans="2:16">
      <c r="B111" s="20" t="s">
        <v>192</v>
      </c>
      <c r="C111" s="2" t="s">
        <v>110</v>
      </c>
      <c r="D111" s="49">
        <v>0.05</v>
      </c>
    </row>
    <row r="112" spans="2:16">
      <c r="B112" s="20" t="s">
        <v>193</v>
      </c>
      <c r="C112" s="2" t="s">
        <v>110</v>
      </c>
      <c r="D112" s="49">
        <v>0.05</v>
      </c>
      <c r="F112" s="2" t="s">
        <v>194</v>
      </c>
    </row>
    <row r="113" spans="2:16">
      <c r="B113" s="20" t="s">
        <v>195</v>
      </c>
      <c r="C113" s="2" t="s">
        <v>196</v>
      </c>
      <c r="D113" s="46">
        <v>150</v>
      </c>
    </row>
    <row r="115" spans="2:16" ht="18" customHeight="1">
      <c r="B115" s="4" t="s">
        <v>197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2:16">
      <c r="B116" s="20" t="s">
        <v>198</v>
      </c>
      <c r="C116" s="2" t="s">
        <v>199</v>
      </c>
      <c r="D116" s="58">
        <v>2</v>
      </c>
    </row>
    <row r="117" spans="2:16">
      <c r="B117" s="20" t="s">
        <v>200</v>
      </c>
      <c r="C117" s="2" t="s">
        <v>199</v>
      </c>
      <c r="D117" s="58">
        <v>1</v>
      </c>
    </row>
    <row r="118" spans="2:16">
      <c r="B118" s="20" t="s">
        <v>201</v>
      </c>
      <c r="C118" s="2" t="s">
        <v>100</v>
      </c>
      <c r="D118" s="46">
        <v>300000</v>
      </c>
    </row>
    <row r="119" spans="2:16">
      <c r="B119" s="20" t="s">
        <v>202</v>
      </c>
      <c r="C119" s="2" t="s">
        <v>100</v>
      </c>
      <c r="D119" s="46">
        <v>150000</v>
      </c>
    </row>
    <row r="120" spans="2:16">
      <c r="B120" s="20" t="s">
        <v>203</v>
      </c>
      <c r="C120" s="2" t="s">
        <v>100</v>
      </c>
      <c r="D120" s="46">
        <v>50000</v>
      </c>
    </row>
    <row r="121" spans="2:16">
      <c r="B121" s="20" t="s">
        <v>204</v>
      </c>
      <c r="C121" s="2" t="s">
        <v>100</v>
      </c>
      <c r="D121" s="46">
        <v>50000</v>
      </c>
    </row>
    <row r="123" spans="2:16" ht="18" customHeight="1">
      <c r="B123" s="4" t="s">
        <v>205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2:16">
      <c r="B124" s="20" t="s">
        <v>206</v>
      </c>
      <c r="C124" s="2" t="s">
        <v>179</v>
      </c>
      <c r="D124" s="49">
        <v>0.015</v>
      </c>
      <c r="F124" s="2" t="s">
        <v>207</v>
      </c>
    </row>
    <row r="125" spans="2:16">
      <c r="B125" s="20" t="s">
        <v>208</v>
      </c>
      <c r="C125" s="2" t="s">
        <v>209</v>
      </c>
      <c r="D125" s="45">
        <v>6</v>
      </c>
      <c r="F125" s="2" t="s">
        <v>210</v>
      </c>
    </row>
    <row r="126" spans="2:16">
      <c r="B126" s="20" t="s">
        <v>211</v>
      </c>
      <c r="C126" s="2" t="s">
        <v>212</v>
      </c>
      <c r="D126" s="49">
        <v>0.25</v>
      </c>
    </row>
    <row r="127" spans="2:16">
      <c r="B127" s="20" t="s">
        <v>213</v>
      </c>
      <c r="C127" s="2" t="s">
        <v>214</v>
      </c>
      <c r="D127" s="49">
        <v>0.059</v>
      </c>
      <c r="F127" s="2" t="s">
        <v>215</v>
      </c>
    </row>
    <row r="128" spans="2:16">
      <c r="B128" s="20" t="s">
        <v>216</v>
      </c>
      <c r="C128" s="2" t="s">
        <v>214</v>
      </c>
      <c r="D128" s="49">
        <v>0.005</v>
      </c>
    </row>
    <row r="129" spans="2:16">
      <c r="B129" s="20" t="s">
        <v>217</v>
      </c>
      <c r="C129" s="2" t="s">
        <v>102</v>
      </c>
      <c r="D129" s="49">
        <v>0.4</v>
      </c>
    </row>
    <row r="130" spans="2:16">
      <c r="B130" s="20" t="s">
        <v>218</v>
      </c>
      <c r="C130" s="2" t="s">
        <v>219</v>
      </c>
      <c r="D130" s="45">
        <v>5</v>
      </c>
    </row>
    <row r="131" spans="2:16">
      <c r="B131" s="20" t="s">
        <v>220</v>
      </c>
      <c r="C131" s="2" t="s">
        <v>102</v>
      </c>
      <c r="D131" s="49">
        <v>0.15</v>
      </c>
      <c r="F131" s="2" t="s">
        <v>221</v>
      </c>
    </row>
    <row r="133" spans="2:16" ht="18" customHeight="1">
      <c r="B133" s="4" t="s">
        <v>222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2:16">
      <c r="B134" s="20" t="s">
        <v>223</v>
      </c>
      <c r="C134" s="2" t="s">
        <v>224</v>
      </c>
      <c r="D134" s="46">
        <v>7</v>
      </c>
    </row>
    <row r="135" spans="2:16">
      <c r="B135" s="20" t="s">
        <v>225</v>
      </c>
      <c r="C135" s="2" t="s">
        <v>224</v>
      </c>
      <c r="D135" s="46">
        <v>30</v>
      </c>
    </row>
    <row r="136" spans="2:16">
      <c r="B136" s="20" t="s">
        <v>226</v>
      </c>
      <c r="C136" s="2" t="s">
        <v>224</v>
      </c>
      <c r="D136" s="46">
        <v>18</v>
      </c>
    </row>
    <row r="137" spans="2:16">
      <c r="B137" s="20" t="s">
        <v>227</v>
      </c>
      <c r="C137" s="2" t="s">
        <v>224</v>
      </c>
      <c r="D137" s="46">
        <v>40</v>
      </c>
    </row>
    <row r="138" spans="2:16">
      <c r="B138" s="20" t="s">
        <v>228</v>
      </c>
      <c r="C138" s="2" t="s">
        <v>224</v>
      </c>
      <c r="D138" s="46">
        <v>15</v>
      </c>
    </row>
    <row r="140" spans="2:16" ht="18" customHeight="1">
      <c r="B140" s="4" t="s">
        <v>229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2:16">
      <c r="B141" s="20" t="s">
        <v>230</v>
      </c>
      <c r="C141" s="2" t="s">
        <v>100</v>
      </c>
      <c r="D141" s="46">
        <v>1500000</v>
      </c>
      <c r="F141" s="2" t="s">
        <v>231</v>
      </c>
    </row>
    <row r="142" spans="2:16">
      <c r="B142" s="20" t="s">
        <v>232</v>
      </c>
      <c r="C142" s="2" t="s">
        <v>233</v>
      </c>
      <c r="D142" s="49">
        <v>0.5</v>
      </c>
      <c r="F142" s="2" t="s">
        <v>234</v>
      </c>
    </row>
    <row r="143" spans="2:16">
      <c r="B143" s="20" t="s">
        <v>235</v>
      </c>
      <c r="C143" s="2" t="s">
        <v>236</v>
      </c>
      <c r="D143" s="49">
        <v>0.6</v>
      </c>
      <c r="F143" s="2" t="s">
        <v>237</v>
      </c>
    </row>
    <row r="144" spans="2:16">
      <c r="B144" s="20" t="s">
        <v>238</v>
      </c>
      <c r="C144" s="2" t="s">
        <v>110</v>
      </c>
      <c r="D144" s="49">
        <v>0.11</v>
      </c>
      <c r="F144" s="2" t="s">
        <v>239</v>
      </c>
    </row>
    <row r="145" spans="2:16">
      <c r="B145" s="20" t="s">
        <v>240</v>
      </c>
      <c r="C145" s="2" t="s">
        <v>110</v>
      </c>
      <c r="D145" s="49">
        <v>0.1</v>
      </c>
    </row>
    <row r="146" spans="2:16">
      <c r="B146" s="20" t="s">
        <v>241</v>
      </c>
      <c r="C146" s="2" t="s">
        <v>219</v>
      </c>
      <c r="D146" s="45">
        <v>5</v>
      </c>
      <c r="F146" s="2" t="s">
        <v>242</v>
      </c>
    </row>
    <row r="147" spans="2:16">
      <c r="B147" s="20" t="s">
        <v>243</v>
      </c>
      <c r="C147" s="2" t="s">
        <v>219</v>
      </c>
      <c r="D147" s="45">
        <v>10</v>
      </c>
    </row>
    <row r="148" spans="2:16">
      <c r="B148" s="20" t="s">
        <v>244</v>
      </c>
      <c r="C148" s="2" t="s">
        <v>110</v>
      </c>
      <c r="D148" s="49">
        <v>0.125</v>
      </c>
      <c r="F148" s="2" t="s">
        <v>245</v>
      </c>
    </row>
    <row r="149" spans="2:16">
      <c r="B149" s="20" t="s">
        <v>246</v>
      </c>
      <c r="C149" s="2" t="s">
        <v>100</v>
      </c>
      <c r="D149" s="46">
        <v>300000</v>
      </c>
    </row>
    <row r="150" spans="2:16">
      <c r="B150" s="20" t="s">
        <v>247</v>
      </c>
      <c r="C150" s="2" t="s">
        <v>248</v>
      </c>
      <c r="D150" s="58">
        <v>3</v>
      </c>
      <c r="F150" s="2" t="s">
        <v>249</v>
      </c>
    </row>
    <row r="151" spans="2:16">
      <c r="B151" s="20" t="s">
        <v>250</v>
      </c>
      <c r="C151" s="2" t="s">
        <v>110</v>
      </c>
      <c r="D151" s="49">
        <v>0.04</v>
      </c>
    </row>
    <row r="152" spans="2:16">
      <c r="B152" s="20" t="s">
        <v>251</v>
      </c>
      <c r="C152" s="2" t="s">
        <v>102</v>
      </c>
      <c r="D152" s="49">
        <v>0</v>
      </c>
      <c r="F152" s="2" t="s">
        <v>252</v>
      </c>
    </row>
    <row r="154" spans="2:16" ht="18" customHeight="1">
      <c r="B154" s="4" t="s">
        <v>253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2:16">
      <c r="B155" s="20" t="s">
        <v>254</v>
      </c>
      <c r="C155" s="2" t="s">
        <v>102</v>
      </c>
      <c r="D155" s="47">
        <v>0.07290000000000001</v>
      </c>
      <c r="F155" s="2" t="s">
        <v>255</v>
      </c>
    </row>
    <row r="156" spans="2:16">
      <c r="B156" s="20" t="s">
        <v>256</v>
      </c>
      <c r="C156" s="2" t="s">
        <v>102</v>
      </c>
      <c r="D156" s="47">
        <v>0.0708</v>
      </c>
      <c r="F156" s="2" t="s">
        <v>257</v>
      </c>
    </row>
    <row r="157" spans="2:16">
      <c r="B157" s="20" t="s">
        <v>258</v>
      </c>
      <c r="C157" s="2" t="s">
        <v>113</v>
      </c>
      <c r="D157" s="58">
        <v>0.8</v>
      </c>
    </row>
    <row r="158" spans="2:16">
      <c r="B158" s="20" t="s">
        <v>259</v>
      </c>
      <c r="C158" s="2" t="s">
        <v>102</v>
      </c>
      <c r="D158" s="47">
        <v>0.05</v>
      </c>
      <c r="F158" s="2" t="s">
        <v>260</v>
      </c>
    </row>
    <row r="159" spans="2:16">
      <c r="B159" s="20" t="s">
        <v>261</v>
      </c>
      <c r="C159" s="2" t="s">
        <v>102</v>
      </c>
      <c r="D159" s="47">
        <v>0.04</v>
      </c>
      <c r="F159" s="2" t="s">
        <v>262</v>
      </c>
    </row>
    <row r="160" spans="2:16">
      <c r="B160" s="20" t="s">
        <v>263</v>
      </c>
      <c r="C160" s="2" t="s">
        <v>113</v>
      </c>
      <c r="D160" s="58">
        <v>5</v>
      </c>
      <c r="F160" s="2" t="s">
        <v>264</v>
      </c>
    </row>
    <row r="161" spans="2:16">
      <c r="B161" s="20" t="s">
        <v>265</v>
      </c>
      <c r="C161" s="2" t="s">
        <v>102</v>
      </c>
      <c r="D161" s="49">
        <v>0.02</v>
      </c>
    </row>
    <row r="162" spans="2:16">
      <c r="B162" s="20" t="s">
        <v>266</v>
      </c>
      <c r="C162" s="2" t="s">
        <v>102</v>
      </c>
      <c r="D162" s="49">
        <v>0.143</v>
      </c>
      <c r="F162" s="2" t="s">
        <v>267</v>
      </c>
    </row>
    <row r="163" spans="2:16">
      <c r="B163" s="20" t="s">
        <v>268</v>
      </c>
      <c r="C163" s="2" t="s">
        <v>90</v>
      </c>
      <c r="D163" s="45">
        <v>0</v>
      </c>
    </row>
    <row r="164" spans="2:16">
      <c r="B164" s="20" t="s">
        <v>269</v>
      </c>
      <c r="C164" s="2" t="s">
        <v>270</v>
      </c>
      <c r="D164" s="49">
        <v>0.3</v>
      </c>
      <c r="F164" s="2" t="s">
        <v>271</v>
      </c>
    </row>
    <row r="166" spans="2:16" ht="18" customHeight="1">
      <c r="B166" s="4" t="s">
        <v>272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2:16">
      <c r="B167" s="20" t="s">
        <v>273</v>
      </c>
      <c r="F167" s="65" t="s">
        <v>71</v>
      </c>
      <c r="G167" s="65" t="s">
        <v>274</v>
      </c>
    </row>
    <row r="168" spans="2:16">
      <c r="B168" s="20" t="s">
        <v>275</v>
      </c>
      <c r="F168" s="65" t="s">
        <v>106</v>
      </c>
      <c r="G168" s="65" t="s">
        <v>80</v>
      </c>
      <c r="H168" s="65" t="s">
        <v>107</v>
      </c>
    </row>
  </sheetData>
  <dataValidations count="5">
    <dataValidation type="list" allowBlank="1" showInputMessage="1" showErrorMessage="1" sqref="D8">
      <formula1>LocList</formula1>
    </dataValidation>
    <dataValidation type="list" allowBlank="1" showInputMessage="1" showErrorMessage="1" sqref="D9">
      <formula1>PropList</formula1>
    </dataValidation>
    <dataValidation type="list" allowBlank="1" showInputMessage="1" showErrorMessage="1" sqref="D10">
      <formula1>RoastList</formula1>
    </dataValidation>
    <dataValidation type="list" allowBlank="1" showInputMessage="1" showErrorMessage="1" sqref="D11">
      <formula1>MixList</formula1>
    </dataValidation>
    <dataValidation type="list" allowBlank="1" showInputMessage="1" showErrorMessage="1" sqref="D12">
      <formula1>ScnList</formula1>
    </dataValidation>
  </dataValidation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62C9"/>
    <pageSetUpPr fitToPage="1"/>
  </sheetPr>
  <dimension ref="A1:L35"/>
  <sheetViews>
    <sheetView showGridLines="0" zoomScale="90" zoomScaleNormal="90" workbookViewId="0"/>
  </sheetViews>
  <sheetFormatPr defaultRowHeight="15"/>
  <cols>
    <col min="1" max="1" width="2.7109375" customWidth="1"/>
    <col min="2" max="2" width="38.7109375" customWidth="1"/>
    <col min="3" max="3" width="12.7109375" customWidth="1"/>
    <col min="4" max="8" width="17.7109375" customWidth="1"/>
    <col min="9" max="9" width="2.7109375" customWidth="1"/>
    <col min="10" max="10" width="70.7109375" customWidth="1"/>
  </cols>
  <sheetData>
    <row r="1" spans="2:10" ht="24" customHeight="1">
      <c r="B1" s="19" t="s">
        <v>276</v>
      </c>
    </row>
    <row r="2" spans="2:10">
      <c r="B2" s="2" t="s">
        <v>277</v>
      </c>
    </row>
    <row r="3" spans="2:10">
      <c r="B3" s="3" t="str">
        <f>"Model running: "&amp;Inputs!$D$23</f>
        <v>Model running: Prahladnagar | Rent | Toll roasting | Specialty mix | Base case</v>
      </c>
    </row>
    <row r="5" spans="2:10" ht="30" customHeight="1">
      <c r="B5" s="32" t="s">
        <v>278</v>
      </c>
      <c r="C5" s="33" t="s">
        <v>43</v>
      </c>
      <c r="D5" s="66" t="s">
        <v>68</v>
      </c>
      <c r="E5" s="66" t="s">
        <v>279</v>
      </c>
      <c r="F5" s="66" t="s">
        <v>280</v>
      </c>
      <c r="G5" s="66" t="s">
        <v>281</v>
      </c>
      <c r="H5" s="67" t="str">
        <f>INDEX(D5:G5,Inputs!$D$15)</f>
        <v>Prahladnagar</v>
      </c>
      <c r="J5" s="32" t="s">
        <v>282</v>
      </c>
    </row>
    <row r="6" spans="2:10">
      <c r="B6" s="20" t="s">
        <v>283</v>
      </c>
      <c r="C6" s="2" t="s">
        <v>196</v>
      </c>
      <c r="D6" s="46">
        <v>1000</v>
      </c>
      <c r="E6" s="46">
        <v>1200</v>
      </c>
      <c r="F6" s="46">
        <v>900</v>
      </c>
      <c r="G6" s="46">
        <v>1000</v>
      </c>
      <c r="H6" s="68">
        <f>INDEX(D6:G6,Inputs!$D$15)</f>
        <v>1000.0</v>
      </c>
      <c r="J6" s="2" t="s">
        <v>284</v>
      </c>
    </row>
    <row r="7" spans="2:10">
      <c r="B7" s="20" t="s">
        <v>285</v>
      </c>
      <c r="C7" s="2" t="s">
        <v>84</v>
      </c>
      <c r="D7" s="46">
        <v>40</v>
      </c>
      <c r="E7" s="46">
        <v>52</v>
      </c>
      <c r="F7" s="46">
        <v>36</v>
      </c>
      <c r="G7" s="46">
        <v>40</v>
      </c>
      <c r="H7" s="68">
        <f>INDEX(D7:G7,Inputs!$D$15)</f>
        <v>40.0</v>
      </c>
      <c r="J7" s="2" t="s">
        <v>286</v>
      </c>
    </row>
    <row r="8" spans="2:10">
      <c r="B8" s="20" t="s">
        <v>71</v>
      </c>
      <c r="C8" s="2" t="s">
        <v>287</v>
      </c>
      <c r="D8" s="46">
        <v>115</v>
      </c>
      <c r="E8" s="46">
        <v>175</v>
      </c>
      <c r="F8" s="46">
        <v>110</v>
      </c>
      <c r="G8" s="46">
        <v>50</v>
      </c>
      <c r="H8" s="68">
        <f>INDEX(D8:G8,Inputs!$D$15)</f>
        <v>115.0</v>
      </c>
      <c r="J8" s="2" t="s">
        <v>288</v>
      </c>
    </row>
    <row r="9" spans="2:10">
      <c r="B9" s="20" t="s">
        <v>289</v>
      </c>
      <c r="C9" s="2" t="s">
        <v>287</v>
      </c>
      <c r="D9" s="46">
        <v>4</v>
      </c>
      <c r="E9" s="46">
        <v>5</v>
      </c>
      <c r="F9" s="46">
        <v>15</v>
      </c>
      <c r="G9" s="46">
        <v>2</v>
      </c>
      <c r="H9" s="68">
        <f>INDEX(D9:G9,Inputs!$D$15)</f>
        <v>4.0</v>
      </c>
      <c r="J9" s="2" t="s">
        <v>290</v>
      </c>
    </row>
    <row r="10" spans="2:10">
      <c r="B10" s="20" t="s">
        <v>291</v>
      </c>
      <c r="C10" s="2" t="s">
        <v>199</v>
      </c>
      <c r="D10" s="46">
        <v>4</v>
      </c>
      <c r="E10" s="46">
        <v>6</v>
      </c>
      <c r="F10" s="46">
        <v>6</v>
      </c>
      <c r="G10" s="46">
        <v>3</v>
      </c>
      <c r="H10" s="68">
        <f>INDEX(D10:G10,Inputs!$D$15)</f>
        <v>4.0</v>
      </c>
      <c r="J10" s="2" t="s">
        <v>292</v>
      </c>
    </row>
    <row r="11" spans="2:10">
      <c r="B11" s="20" t="s">
        <v>293</v>
      </c>
      <c r="C11" s="2" t="s">
        <v>294</v>
      </c>
      <c r="D11" s="46">
        <v>2600</v>
      </c>
      <c r="E11" s="46">
        <v>3000</v>
      </c>
      <c r="F11" s="46">
        <v>2600</v>
      </c>
      <c r="G11" s="46">
        <v>2000</v>
      </c>
      <c r="H11" s="68">
        <f>INDEX(D11:G11,Inputs!$D$15)</f>
        <v>2600.0</v>
      </c>
      <c r="J11" s="2" t="s">
        <v>295</v>
      </c>
    </row>
    <row r="12" spans="2:10">
      <c r="B12" s="20" t="s">
        <v>296</v>
      </c>
      <c r="C12" s="2" t="s">
        <v>294</v>
      </c>
      <c r="D12" s="46">
        <v>17500</v>
      </c>
      <c r="E12" s="46">
        <v>24000</v>
      </c>
      <c r="F12" s="46">
        <v>14000</v>
      </c>
      <c r="G12" s="46">
        <v>6500</v>
      </c>
      <c r="H12" s="68">
        <f>INDEX(D12:G12,Inputs!$D$15)</f>
        <v>17500.0</v>
      </c>
      <c r="J12" s="2" t="s">
        <v>297</v>
      </c>
    </row>
    <row r="13" spans="2:10">
      <c r="B13" s="20" t="s">
        <v>298</v>
      </c>
      <c r="C13" s="2" t="s">
        <v>84</v>
      </c>
      <c r="D13" s="46">
        <v>140</v>
      </c>
      <c r="E13" s="46">
        <v>170</v>
      </c>
      <c r="F13" s="46">
        <v>150</v>
      </c>
      <c r="G13" s="46">
        <v>110</v>
      </c>
      <c r="H13" s="68">
        <f>INDEX(D13:G13,Inputs!$D$15)</f>
        <v>140.0</v>
      </c>
      <c r="J13" s="2" t="s">
        <v>299</v>
      </c>
    </row>
    <row r="14" spans="2:10">
      <c r="B14" s="20" t="s">
        <v>300</v>
      </c>
      <c r="C14" s="2" t="s">
        <v>100</v>
      </c>
      <c r="D14" s="46">
        <v>320</v>
      </c>
      <c r="E14" s="46">
        <v>360</v>
      </c>
      <c r="F14" s="46">
        <v>330</v>
      </c>
      <c r="G14" s="46">
        <v>260</v>
      </c>
      <c r="H14" s="68">
        <f>INDEX(D14:G14,Inputs!$D$15)</f>
        <v>320.0</v>
      </c>
      <c r="J14" s="2" t="s">
        <v>301</v>
      </c>
    </row>
    <row r="15" spans="2:10">
      <c r="B15" s="20" t="s">
        <v>302</v>
      </c>
      <c r="C15" s="2" t="s">
        <v>224</v>
      </c>
      <c r="D15" s="46">
        <v>360</v>
      </c>
      <c r="E15" s="46">
        <v>360</v>
      </c>
      <c r="F15" s="46">
        <v>290</v>
      </c>
      <c r="G15" s="46">
        <v>350</v>
      </c>
      <c r="H15" s="68">
        <f>INDEX(D15:G15,Inputs!$D$15)</f>
        <v>360.0</v>
      </c>
      <c r="J15" s="2" t="s">
        <v>303</v>
      </c>
    </row>
    <row r="16" spans="2:10">
      <c r="B16" s="20" t="s">
        <v>304</v>
      </c>
      <c r="C16" s="2" t="s">
        <v>102</v>
      </c>
      <c r="D16" s="49">
        <v>0.15</v>
      </c>
      <c r="E16" s="49">
        <v>0.1</v>
      </c>
      <c r="F16" s="49">
        <v>0.06</v>
      </c>
      <c r="G16" s="49">
        <v>0.15</v>
      </c>
      <c r="H16" s="69">
        <f>INDEX(D16:G16,Inputs!$D$15)</f>
        <v>0.15</v>
      </c>
      <c r="J16" s="2" t="s">
        <v>305</v>
      </c>
    </row>
    <row r="17" spans="2:12">
      <c r="B17" s="20" t="s">
        <v>306</v>
      </c>
      <c r="C17" s="2" t="s">
        <v>110</v>
      </c>
      <c r="D17" s="49">
        <v>0</v>
      </c>
      <c r="E17" s="49">
        <v>0.005</v>
      </c>
      <c r="F17" s="49">
        <v>0.04</v>
      </c>
      <c r="G17" s="49">
        <v>0.05</v>
      </c>
      <c r="H17" s="69">
        <f>INDEX(D17:G17,Inputs!$D$15)</f>
        <v>0.0</v>
      </c>
      <c r="J17" s="2" t="s">
        <v>307</v>
      </c>
    </row>
    <row r="18" spans="2:12">
      <c r="B18" s="20" t="s">
        <v>308</v>
      </c>
      <c r="C18" s="2" t="s">
        <v>113</v>
      </c>
      <c r="D18" s="58">
        <v>1</v>
      </c>
      <c r="E18" s="58">
        <v>1.2</v>
      </c>
      <c r="F18" s="58">
        <v>0.95</v>
      </c>
      <c r="G18" s="58">
        <v>0.9</v>
      </c>
      <c r="H18" s="70">
        <f>INDEX(D18:G18,Inputs!$D$15)</f>
        <v>1.0</v>
      </c>
      <c r="J18" s="2" t="s">
        <v>309</v>
      </c>
    </row>
    <row r="19" spans="2:12">
      <c r="B19" s="20" t="s">
        <v>310</v>
      </c>
      <c r="C19" s="2" t="s">
        <v>113</v>
      </c>
      <c r="D19" s="58">
        <v>1</v>
      </c>
      <c r="E19" s="58">
        <v>1</v>
      </c>
      <c r="F19" s="58">
        <v>1.2</v>
      </c>
      <c r="G19" s="58">
        <v>1.3</v>
      </c>
      <c r="H19" s="70">
        <f>INDEX(D19:G19,Inputs!$D$15)</f>
        <v>1.0</v>
      </c>
      <c r="J19" s="2" t="s">
        <v>311</v>
      </c>
    </row>
    <row r="20" spans="2:12">
      <c r="B20" s="20" t="s">
        <v>312</v>
      </c>
      <c r="C20" s="2" t="s">
        <v>313</v>
      </c>
      <c r="D20" s="46">
        <v>35</v>
      </c>
      <c r="E20" s="46">
        <v>40</v>
      </c>
      <c r="F20" s="46">
        <v>30</v>
      </c>
      <c r="G20" s="46">
        <v>15</v>
      </c>
      <c r="H20" s="68">
        <f>INDEX(D20:G20,Inputs!$D$15)</f>
        <v>35.0</v>
      </c>
    </row>
    <row r="21" spans="2:12">
      <c r="B21" s="20" t="s">
        <v>314</v>
      </c>
      <c r="C21" s="2" t="s">
        <v>110</v>
      </c>
      <c r="D21" s="49">
        <v>0.05</v>
      </c>
      <c r="E21" s="49">
        <v>0.06</v>
      </c>
      <c r="F21" s="49">
        <v>0.07000000000000001</v>
      </c>
      <c r="G21" s="49">
        <v>0.06</v>
      </c>
      <c r="H21" s="69">
        <f>INDEX(D21:G21,Inputs!$D$15)</f>
        <v>0.05</v>
      </c>
    </row>
    <row r="23" spans="2:12">
      <c r="B23" s="41" t="s">
        <v>315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</row>
    <row r="24" spans="2:12">
      <c r="B24" s="20" t="s">
        <v>316</v>
      </c>
      <c r="C24" s="2" t="s">
        <v>100</v>
      </c>
      <c r="D24" s="63">
        <f>D6*D8/D7</f>
        <v>2875.0</v>
      </c>
      <c r="E24" s="63">
        <f>E6*E8/E7</f>
        <v>4038.4615384615386</v>
      </c>
      <c r="F24" s="63">
        <f>F6*F8/F7</f>
        <v>2750.0</v>
      </c>
      <c r="G24" s="63">
        <f>G6*G8/G7</f>
        <v>1250.0</v>
      </c>
      <c r="H24" s="71">
        <f>H6*H8/H7</f>
        <v>2875.0</v>
      </c>
    </row>
    <row r="25" spans="2:12">
      <c r="B25" s="20" t="s">
        <v>317</v>
      </c>
      <c r="C25" s="2" t="s">
        <v>318</v>
      </c>
      <c r="D25" s="72">
        <f>D13*D14*D15/Lakh</f>
        <v>161.28</v>
      </c>
      <c r="E25" s="72">
        <f>E13*E14*E15/Lakh</f>
        <v>220.32</v>
      </c>
      <c r="F25" s="72">
        <f>F13*F14*F15/Lakh</f>
        <v>143.55</v>
      </c>
      <c r="G25" s="72">
        <f>G13*G14*G15/Lakh</f>
        <v>100.1</v>
      </c>
      <c r="H25" s="73">
        <f>H13*H14*H15/Lakh</f>
        <v>161.28</v>
      </c>
    </row>
    <row r="26" spans="2:12">
      <c r="B26" s="20" t="s">
        <v>319</v>
      </c>
      <c r="C26" s="2" t="s">
        <v>102</v>
      </c>
      <c r="D26" s="60">
        <f>D6*D8*12/(D13*D14*D15)</f>
        <v>0.08556547619047619</v>
      </c>
      <c r="E26" s="60">
        <f>E6*E8*12/(E13*E14*E15)</f>
        <v>0.11437908496732026</v>
      </c>
      <c r="F26" s="60">
        <f>F6*F8*12/(F13*F14*F15)</f>
        <v>0.08275862068965517</v>
      </c>
      <c r="G26" s="60">
        <f>G6*G8*12/(G13*G14*G15)</f>
        <v>0.059940059940059943</v>
      </c>
      <c r="H26" s="74">
        <f>H6*H8*12/(H13*H14*H15)</f>
        <v>0.08556547619047619</v>
      </c>
    </row>
    <row r="27" spans="2:12">
      <c r="B27" s="20" t="s">
        <v>320</v>
      </c>
      <c r="C27" s="2" t="s">
        <v>321</v>
      </c>
      <c r="D27" s="72">
        <f>D6*D11/Lakh</f>
        <v>26.0</v>
      </c>
      <c r="E27" s="72">
        <f>E6*E11/Lakh</f>
        <v>36.0</v>
      </c>
      <c r="F27" s="72">
        <f>F6*F11/Lakh</f>
        <v>23.4</v>
      </c>
      <c r="G27" s="72">
        <f>G6*G11/Lakh</f>
        <v>20.0</v>
      </c>
      <c r="H27" s="73">
        <f>H6*H11/Lakh</f>
        <v>26.0</v>
      </c>
    </row>
    <row r="28" spans="2:12">
      <c r="B28" s="20" t="s">
        <v>322</v>
      </c>
      <c r="C28" s="2" t="s">
        <v>321</v>
      </c>
      <c r="D28" s="72">
        <f>D6*D12/Lakh</f>
        <v>175.0</v>
      </c>
      <c r="E28" s="72">
        <f>E6*E12/Lakh</f>
        <v>288.0</v>
      </c>
      <c r="F28" s="72">
        <f>F6*F12/Lakh</f>
        <v>126.0</v>
      </c>
      <c r="G28" s="72">
        <f>G6*G12/Lakh</f>
        <v>65.0</v>
      </c>
      <c r="H28" s="73">
        <f>H6*H12/Lakh</f>
        <v>175.0</v>
      </c>
    </row>
    <row r="29" spans="2:12">
      <c r="B29" s="20" t="s">
        <v>323</v>
      </c>
      <c r="C29" s="2" t="s">
        <v>102</v>
      </c>
      <c r="D29" s="60">
        <f>D8*12/D12</f>
        <v>0.07885714285714286</v>
      </c>
      <c r="E29" s="60">
        <f>E8*12/E12</f>
        <v>0.0875</v>
      </c>
      <c r="F29" s="60">
        <f>F8*12/F12</f>
        <v>0.09428571428571429</v>
      </c>
      <c r="G29" s="60">
        <f>G8*12/G12</f>
        <v>0.09230769230769231</v>
      </c>
      <c r="H29" s="74">
        <f>H8*12/H12</f>
        <v>0.07885714285714286</v>
      </c>
    </row>
    <row r="31" spans="2:12">
      <c r="B31" s="41" t="s">
        <v>324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spans="2:12" ht="32" customHeight="1">
      <c r="B32" s="75" t="s">
        <v>68</v>
      </c>
      <c r="C32" s="76" t="s">
        <v>325</v>
      </c>
      <c r="D32" s="76"/>
      <c r="E32" s="76"/>
      <c r="F32" s="76"/>
      <c r="G32" s="76"/>
      <c r="H32" s="76"/>
      <c r="I32" s="76"/>
      <c r="J32" s="76"/>
    </row>
    <row r="33" spans="2:10" ht="32" customHeight="1">
      <c r="B33" s="75" t="s">
        <v>279</v>
      </c>
      <c r="C33" s="76" t="s">
        <v>326</v>
      </c>
      <c r="D33" s="76"/>
      <c r="E33" s="76"/>
      <c r="F33" s="76"/>
      <c r="G33" s="76"/>
      <c r="H33" s="76"/>
      <c r="I33" s="76"/>
      <c r="J33" s="76"/>
    </row>
    <row r="34" spans="2:10" ht="32" customHeight="1">
      <c r="B34" s="75" t="s">
        <v>280</v>
      </c>
      <c r="C34" s="76" t="s">
        <v>327</v>
      </c>
      <c r="D34" s="76"/>
      <c r="E34" s="76"/>
      <c r="F34" s="76"/>
      <c r="G34" s="76"/>
      <c r="H34" s="76"/>
      <c r="I34" s="76"/>
      <c r="J34" s="76"/>
    </row>
    <row r="35" spans="2:10" ht="32" customHeight="1">
      <c r="B35" s="75" t="s">
        <v>281</v>
      </c>
      <c r="C35" s="76" t="s">
        <v>328</v>
      </c>
      <c r="D35" s="76"/>
      <c r="E35" s="76"/>
      <c r="F35" s="76"/>
      <c r="G35" s="76"/>
      <c r="H35" s="76"/>
      <c r="I35" s="76"/>
      <c r="J35" s="76"/>
    </row>
  </sheetData>
  <mergeCells count="4">
    <mergeCell ref="C32:J32"/>
    <mergeCell ref="C33:J33"/>
    <mergeCell ref="C34:J34"/>
    <mergeCell ref="C35:J35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A62C9"/>
    <pageSetUpPr fitToPage="1"/>
  </sheetPr>
  <dimension ref="A1:L50"/>
  <sheetViews>
    <sheetView showGridLines="0" zoomScale="90" zoomScaleNormal="90" workbookViewId="0"/>
  </sheetViews>
  <sheetFormatPr defaultRowHeight="15"/>
  <cols>
    <col min="1" max="1" width="2.7109375" customWidth="1"/>
    <col min="2" max="2" width="40.7109375" customWidth="1"/>
    <col min="3" max="3" width="10.7109375" customWidth="1"/>
    <col min="4" max="5" width="13.7109375" customWidth="1"/>
    <col min="6" max="10" width="12.7109375" customWidth="1"/>
    <col min="11" max="11" width="2.7109375" customWidth="1"/>
    <col min="12" max="12" width="60.7109375" customWidth="1"/>
  </cols>
  <sheetData>
    <row r="1" spans="2:12" ht="24" customHeight="1">
      <c r="B1" s="19" t="s">
        <v>329</v>
      </c>
    </row>
    <row r="2" spans="2:12">
      <c r="B2" s="2" t="s">
        <v>330</v>
      </c>
    </row>
    <row r="3" spans="2:12">
      <c r="B3" s="3" t="str">
        <f>"Model running: "&amp;Inputs!$D$23</f>
        <v>Model running: Prahladnagar | Rent | Toll roasting | Specialty mix | Base case</v>
      </c>
    </row>
    <row r="5" spans="2:12">
      <c r="B5" s="41" t="s">
        <v>331</v>
      </c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2:12">
      <c r="B6" s="20" t="s">
        <v>332</v>
      </c>
      <c r="C6" s="2" t="s">
        <v>102</v>
      </c>
      <c r="D6" s="49">
        <v>0.16</v>
      </c>
      <c r="F6" s="2" t="s">
        <v>333</v>
      </c>
    </row>
    <row r="7" spans="2:12">
      <c r="B7" s="20" t="s">
        <v>334</v>
      </c>
      <c r="C7" s="2" t="s">
        <v>335</v>
      </c>
      <c r="D7" s="46">
        <v>180</v>
      </c>
      <c r="F7" s="2" t="s">
        <v>336</v>
      </c>
    </row>
    <row r="8" spans="2:12">
      <c r="B8" s="20" t="s">
        <v>337</v>
      </c>
      <c r="C8" s="2" t="s">
        <v>338</v>
      </c>
      <c r="D8" s="46">
        <v>25</v>
      </c>
      <c r="F8" s="2" t="s">
        <v>339</v>
      </c>
    </row>
    <row r="9" spans="2:12">
      <c r="B9" s="20" t="s">
        <v>340</v>
      </c>
      <c r="C9" s="2" t="s">
        <v>335</v>
      </c>
      <c r="D9" s="46">
        <v>35</v>
      </c>
      <c r="F9" s="2" t="s">
        <v>341</v>
      </c>
    </row>
    <row r="10" spans="2:12">
      <c r="B10" s="20" t="s">
        <v>342</v>
      </c>
      <c r="C10" s="2" t="s">
        <v>338</v>
      </c>
      <c r="D10" s="46">
        <v>10</v>
      </c>
    </row>
    <row r="11" spans="2:12">
      <c r="B11" s="20" t="s">
        <v>343</v>
      </c>
      <c r="C11" s="2" t="s">
        <v>338</v>
      </c>
      <c r="D11" s="46">
        <v>48</v>
      </c>
      <c r="F11" s="2" t="s">
        <v>344</v>
      </c>
    </row>
    <row r="12" spans="2:12">
      <c r="B12" s="20" t="s">
        <v>345</v>
      </c>
      <c r="C12" s="2" t="s">
        <v>338</v>
      </c>
      <c r="D12" s="46">
        <v>45</v>
      </c>
    </row>
    <row r="14" spans="2:12" ht="30" customHeight="1">
      <c r="B14" s="33" t="s">
        <v>346</v>
      </c>
      <c r="C14" s="33" t="s">
        <v>43</v>
      </c>
      <c r="D14" s="33" t="s">
        <v>347</v>
      </c>
      <c r="E14" s="33" t="s">
        <v>348</v>
      </c>
      <c r="F14" s="66" t="s">
        <v>63</v>
      </c>
      <c r="G14" s="66" t="s">
        <v>77</v>
      </c>
      <c r="H14" s="66" t="s">
        <v>349</v>
      </c>
      <c r="I14" s="66" t="s">
        <v>350</v>
      </c>
      <c r="J14" s="67" t="str">
        <f>INDEX(F14:I14,Inputs!$D$18)</f>
        <v>Specialty</v>
      </c>
    </row>
    <row r="15" spans="2:12">
      <c r="B15" s="20" t="s">
        <v>351</v>
      </c>
      <c r="C15" s="2" t="s">
        <v>352</v>
      </c>
      <c r="D15" s="46">
        <v>600</v>
      </c>
      <c r="E15" s="46">
        <v>1050</v>
      </c>
      <c r="F15" s="49">
        <v>0.5</v>
      </c>
      <c r="G15" s="49">
        <v>0</v>
      </c>
      <c r="H15" s="49">
        <v>0</v>
      </c>
      <c r="I15" s="49">
        <v>0</v>
      </c>
      <c r="J15" s="77">
        <f>INDEX(F15:I15,Inputs!$D$18)</f>
        <v>0.0</v>
      </c>
    </row>
    <row r="16" spans="2:12">
      <c r="B16" s="20" t="s">
        <v>353</v>
      </c>
      <c r="C16" s="2" t="s">
        <v>352</v>
      </c>
      <c r="D16" s="46">
        <v>440</v>
      </c>
      <c r="E16" s="46">
        <v>900</v>
      </c>
      <c r="F16" s="49">
        <v>0.5</v>
      </c>
      <c r="G16" s="49">
        <v>0</v>
      </c>
      <c r="H16" s="49">
        <v>0</v>
      </c>
      <c r="I16" s="49">
        <v>0</v>
      </c>
      <c r="J16" s="77">
        <f>INDEX(F16:I16,Inputs!$D$18)</f>
        <v>0.0</v>
      </c>
    </row>
    <row r="17" spans="2:12">
      <c r="B17" s="20" t="s">
        <v>354</v>
      </c>
      <c r="C17" s="2" t="s">
        <v>352</v>
      </c>
      <c r="D17" s="46">
        <v>520</v>
      </c>
      <c r="E17" s="46">
        <v>1150</v>
      </c>
      <c r="F17" s="49">
        <v>0</v>
      </c>
      <c r="G17" s="49">
        <v>0.2</v>
      </c>
      <c r="H17" s="49">
        <v>0.1</v>
      </c>
      <c r="I17" s="49">
        <v>0.15</v>
      </c>
      <c r="J17" s="77">
        <f>INDEX(F17:I17,Inputs!$D$18)</f>
        <v>0.2</v>
      </c>
    </row>
    <row r="18" spans="2:12">
      <c r="B18" s="20" t="s">
        <v>355</v>
      </c>
      <c r="C18" s="2" t="s">
        <v>352</v>
      </c>
      <c r="D18" s="46">
        <v>950</v>
      </c>
      <c r="E18" s="46">
        <v>1700</v>
      </c>
      <c r="F18" s="49">
        <v>0</v>
      </c>
      <c r="G18" s="49">
        <v>0.75</v>
      </c>
      <c r="H18" s="49">
        <v>0.5</v>
      </c>
      <c r="I18" s="49">
        <v>0.7</v>
      </c>
      <c r="J18" s="77">
        <f>INDEX(F18:I18,Inputs!$D$18)</f>
        <v>0.75</v>
      </c>
    </row>
    <row r="19" spans="2:12">
      <c r="B19" s="20" t="s">
        <v>356</v>
      </c>
      <c r="C19" s="2" t="s">
        <v>352</v>
      </c>
      <c r="D19" s="46">
        <v>2200</v>
      </c>
      <c r="E19" s="46">
        <v>3200</v>
      </c>
      <c r="F19" s="49">
        <v>0</v>
      </c>
      <c r="G19" s="49">
        <v>0.05</v>
      </c>
      <c r="H19" s="49">
        <v>0.4</v>
      </c>
      <c r="I19" s="49">
        <v>0.15</v>
      </c>
      <c r="J19" s="77">
        <f>INDEX(F19:I19,Inputs!$D$18)</f>
        <v>0.05</v>
      </c>
    </row>
    <row r="20" spans="2:12">
      <c r="B20" s="78" t="s">
        <v>357</v>
      </c>
      <c r="C20" s="79" t="s">
        <v>102</v>
      </c>
      <c r="D20" s="11"/>
      <c r="E20" s="11"/>
      <c r="F20" s="80">
        <f>SUM(F15:F19)</f>
        <v>1.0</v>
      </c>
      <c r="G20" s="80">
        <f>SUM(G15:G19)</f>
        <v>1.0</v>
      </c>
      <c r="H20" s="80">
        <f>SUM(H15:H19)</f>
        <v>1.0</v>
      </c>
      <c r="I20" s="80">
        <f>SUM(I15:I19)</f>
        <v>1.0</v>
      </c>
      <c r="J20" s="81">
        <f>INDEX(F20:I20,Inputs!$D$18)</f>
        <v>1.0</v>
      </c>
    </row>
    <row r="21" spans="2:12">
      <c r="B21" s="20" t="s">
        <v>358</v>
      </c>
      <c r="C21" s="2" t="s">
        <v>338</v>
      </c>
      <c r="F21" s="63">
        <f>SUMPRODUCT($D$15:$D$19,F15:F19)</f>
        <v>520.0</v>
      </c>
      <c r="G21" s="63">
        <f>SUMPRODUCT($D$15:$D$19,G15:G19)</f>
        <v>926.5</v>
      </c>
      <c r="H21" s="63">
        <f>SUMPRODUCT($D$15:$D$19,H15:H19)</f>
        <v>1407.0</v>
      </c>
      <c r="I21" s="63">
        <f>SUMPRODUCT($D$15:$D$19,I15:I19)</f>
        <v>1073.0</v>
      </c>
      <c r="J21" s="82">
        <f>INDEX(F21:I21,Inputs!$D$18)</f>
        <v>926.5</v>
      </c>
    </row>
    <row r="22" spans="2:12">
      <c r="B22" s="20" t="s">
        <v>359</v>
      </c>
      <c r="C22" s="2" t="s">
        <v>338</v>
      </c>
      <c r="F22" s="63">
        <f>SUMPRODUCT($E$15:$E$19,F15:F19)</f>
        <v>975.0</v>
      </c>
      <c r="G22" s="63">
        <f>SUMPRODUCT($E$15:$E$19,G15:G19)</f>
        <v>1665.0</v>
      </c>
      <c r="H22" s="63">
        <f>SUMPRODUCT($E$15:$E$19,H15:H19)</f>
        <v>2245.0</v>
      </c>
      <c r="I22" s="63">
        <f>SUMPRODUCT($E$15:$E$19,I15:I19)</f>
        <v>1842.5</v>
      </c>
      <c r="J22" s="82">
        <f>INDEX(F22:I22,Inputs!$D$18)</f>
        <v>1665.0</v>
      </c>
    </row>
    <row r="23" spans="2:12">
      <c r="B23" s="20" t="s">
        <v>360</v>
      </c>
      <c r="C23" s="2" t="s">
        <v>335</v>
      </c>
      <c r="F23" s="63">
        <f>F21/(1-$D$6)</f>
        <v>619.047619047619</v>
      </c>
      <c r="G23" s="63">
        <f>G21/(1-$D$6)</f>
        <v>1102.9761904761906</v>
      </c>
      <c r="H23" s="63">
        <f>H21/(1-$D$6)</f>
        <v>1675.0</v>
      </c>
      <c r="I23" s="63">
        <f>I21/(1-$D$6)</f>
        <v>1277.3809523809525</v>
      </c>
      <c r="J23" s="82">
        <f>INDEX(F23:I23,Inputs!$D$18)</f>
        <v>1102.9761904761906</v>
      </c>
    </row>
    <row r="25" spans="2:12">
      <c r="B25" s="41" t="s">
        <v>361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</row>
    <row r="26" spans="2:12">
      <c r="B26" s="20" t="s">
        <v>362</v>
      </c>
      <c r="C26" s="2" t="s">
        <v>338</v>
      </c>
      <c r="F26" s="63">
        <f>F22-F23</f>
        <v>355.95238095238096</v>
      </c>
      <c r="G26" s="63">
        <f>G22-G23</f>
        <v>562.0238095238094</v>
      </c>
      <c r="H26" s="63">
        <f>H22-H23</f>
        <v>570.0</v>
      </c>
      <c r="I26" s="63">
        <f>I22-I23</f>
        <v>565.1190476190475</v>
      </c>
      <c r="J26" s="82">
        <f>INDEX(F26:I26,Inputs!$D$18)</f>
        <v>562.0238095238094</v>
      </c>
    </row>
    <row r="27" spans="2:12">
      <c r="B27" s="20" t="s">
        <v>363</v>
      </c>
      <c r="C27" s="2" t="s">
        <v>338</v>
      </c>
      <c r="F27" s="63">
        <f>$D$7+$D$8</f>
        <v>205.0</v>
      </c>
      <c r="G27" s="63">
        <f>$D$7+$D$8</f>
        <v>205.0</v>
      </c>
      <c r="H27" s="63">
        <f>$D$7+$D$8</f>
        <v>205.0</v>
      </c>
      <c r="I27" s="63">
        <f>$D$7+$D$8</f>
        <v>205.0</v>
      </c>
      <c r="J27" s="82">
        <f>INDEX(F27:I27,Inputs!$D$18)</f>
        <v>205.0</v>
      </c>
    </row>
    <row r="28" spans="2:12">
      <c r="B28" s="20" t="s">
        <v>364</v>
      </c>
      <c r="C28" s="2" t="s">
        <v>338</v>
      </c>
      <c r="F28" s="63">
        <f>$D$9+$D$8</f>
        <v>60.0</v>
      </c>
      <c r="G28" s="63">
        <f>$D$9+$D$8</f>
        <v>60.0</v>
      </c>
      <c r="H28" s="63">
        <f>$D$9+$D$8</f>
        <v>60.0</v>
      </c>
      <c r="I28" s="63">
        <f>$D$9+$D$8</f>
        <v>60.0</v>
      </c>
      <c r="J28" s="82">
        <f>INDEX(F28:I28,Inputs!$D$18)</f>
        <v>60.0</v>
      </c>
    </row>
    <row r="29" spans="2:12">
      <c r="B29" s="10" t="s">
        <v>365</v>
      </c>
      <c r="C29" s="79" t="s">
        <v>338</v>
      </c>
      <c r="D29" s="11"/>
      <c r="E29" s="11"/>
      <c r="F29" s="83">
        <f>F23+F26</f>
        <v>975.0</v>
      </c>
      <c r="G29" s="83">
        <f>G23+G26</f>
        <v>1665.0</v>
      </c>
      <c r="H29" s="83">
        <f>H23+H26</f>
        <v>2245.0</v>
      </c>
      <c r="I29" s="83">
        <f>I23+I26</f>
        <v>1842.5</v>
      </c>
      <c r="J29" s="84">
        <f>INDEX(F29:I29,Inputs!$D$18)</f>
        <v>1665.0</v>
      </c>
    </row>
    <row r="30" spans="2:12">
      <c r="B30" s="16" t="s">
        <v>366</v>
      </c>
      <c r="C30" s="2" t="s">
        <v>338</v>
      </c>
      <c r="F30" s="59">
        <f>F23+F27</f>
        <v>824.047619047619</v>
      </c>
      <c r="G30" s="59">
        <f>G23+G27</f>
        <v>1307.9761904761906</v>
      </c>
      <c r="H30" s="59">
        <f>H23+H27</f>
        <v>1880.0</v>
      </c>
      <c r="I30" s="59">
        <f>I23+I27</f>
        <v>1482.3809523809525</v>
      </c>
      <c r="J30" s="68">
        <f>INDEX(F30:I30,Inputs!$D$18)</f>
        <v>1307.9761904761906</v>
      </c>
    </row>
    <row r="31" spans="2:12">
      <c r="B31" s="16" t="s">
        <v>367</v>
      </c>
      <c r="C31" s="2" t="s">
        <v>338</v>
      </c>
      <c r="F31" s="59">
        <f>F23+F28</f>
        <v>679.047619047619</v>
      </c>
      <c r="G31" s="59">
        <f>G23+G28</f>
        <v>1162.9761904761906</v>
      </c>
      <c r="H31" s="59">
        <f>H23+H28</f>
        <v>1735.0</v>
      </c>
      <c r="I31" s="59">
        <f>I23+I28</f>
        <v>1337.3809523809525</v>
      </c>
      <c r="J31" s="68">
        <f>INDEX(F31:I31,Inputs!$D$18)</f>
        <v>1162.9761904761906</v>
      </c>
    </row>
    <row r="32" spans="2:12">
      <c r="B32" s="20" t="s">
        <v>368</v>
      </c>
      <c r="C32" s="2" t="s">
        <v>100</v>
      </c>
      <c r="F32" s="72">
        <f>F30*18/1000</f>
        <v>14.832857142857144</v>
      </c>
      <c r="G32" s="72">
        <f>G30*18/1000</f>
        <v>23.543571428571433</v>
      </c>
      <c r="H32" s="72">
        <f>H30*18/1000</f>
        <v>33.84</v>
      </c>
      <c r="I32" s="72">
        <f>I30*18/1000</f>
        <v>26.682857142857145</v>
      </c>
      <c r="J32" s="85">
        <f>INDEX(F32:I32,Inputs!$D$18)</f>
        <v>23.543571428571433</v>
      </c>
    </row>
    <row r="34" spans="2:12">
      <c r="B34" s="41" t="s">
        <v>369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</row>
    <row r="35" spans="2:12">
      <c r="B35" s="20" t="s">
        <v>370</v>
      </c>
      <c r="C35" s="2" t="s">
        <v>102</v>
      </c>
      <c r="F35" s="49">
        <v>-0.1</v>
      </c>
      <c r="G35" s="49">
        <v>0</v>
      </c>
      <c r="H35" s="49">
        <v>0.05</v>
      </c>
      <c r="I35" s="49">
        <v>0.02</v>
      </c>
      <c r="J35" s="77">
        <f>INDEX(F35:I35,Inputs!$D$18)</f>
        <v>0.0</v>
      </c>
      <c r="L35" s="2" t="s">
        <v>371</v>
      </c>
    </row>
    <row r="36" spans="2:12">
      <c r="B36" s="20" t="s">
        <v>372</v>
      </c>
      <c r="C36" s="2" t="s">
        <v>102</v>
      </c>
      <c r="F36" s="49">
        <v>0.05</v>
      </c>
      <c r="G36" s="49">
        <v>0</v>
      </c>
      <c r="H36" s="49">
        <v>-0.05</v>
      </c>
      <c r="I36" s="49">
        <v>0</v>
      </c>
      <c r="J36" s="77">
        <f>INDEX(F36:I36,Inputs!$D$18)</f>
        <v>0.0</v>
      </c>
      <c r="L36" s="2" t="s">
        <v>373</v>
      </c>
    </row>
    <row r="37" spans="2:12">
      <c r="B37" s="20" t="s">
        <v>374</v>
      </c>
      <c r="C37" s="2" t="s">
        <v>338</v>
      </c>
      <c r="F37" s="46">
        <v>1600</v>
      </c>
      <c r="G37" s="46">
        <v>2400</v>
      </c>
      <c r="H37" s="46">
        <v>3600</v>
      </c>
      <c r="I37" s="46">
        <v>2800</v>
      </c>
      <c r="J37" s="82">
        <f>INDEX(F37:I37,Inputs!$D$18)</f>
        <v>2400.0</v>
      </c>
      <c r="L37" s="2" t="s">
        <v>375</v>
      </c>
    </row>
    <row r="38" spans="2:12">
      <c r="B38" s="20" t="s">
        <v>376</v>
      </c>
      <c r="C38" s="2" t="s">
        <v>338</v>
      </c>
      <c r="F38" s="46">
        <v>900</v>
      </c>
      <c r="G38" s="46">
        <v>1450</v>
      </c>
      <c r="H38" s="46">
        <v>2300</v>
      </c>
      <c r="I38" s="46">
        <v>1700</v>
      </c>
      <c r="J38" s="82">
        <f>INDEX(F38:I38,Inputs!$D$18)</f>
        <v>1450.0</v>
      </c>
      <c r="L38" s="2" t="s">
        <v>377</v>
      </c>
    </row>
    <row r="40" spans="2:12">
      <c r="B40" s="41" t="s">
        <v>378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2:12">
      <c r="B41" s="20" t="s">
        <v>379</v>
      </c>
      <c r="F41" s="65" t="s">
        <v>380</v>
      </c>
      <c r="G41" s="65" t="s">
        <v>74</v>
      </c>
      <c r="H41" s="65" t="s">
        <v>381</v>
      </c>
    </row>
    <row r="43" spans="2:12">
      <c r="B43" s="41" t="s">
        <v>382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spans="2:12">
      <c r="B44" s="20" t="s">
        <v>383</v>
      </c>
      <c r="C44" s="2" t="s">
        <v>338</v>
      </c>
      <c r="J44" s="63">
        <f>$J$23</f>
        <v>1102.9761904761906</v>
      </c>
    </row>
    <row r="45" spans="2:12">
      <c r="B45" s="20" t="s">
        <v>384</v>
      </c>
      <c r="C45" s="2" t="s">
        <v>338</v>
      </c>
      <c r="J45" s="29">
        <f>CHOOSE(Inputs!$D$17,$J$26,$J$27,$J$28)</f>
        <v>205.0</v>
      </c>
    </row>
    <row r="46" spans="2:12">
      <c r="B46" s="16" t="s">
        <v>385</v>
      </c>
      <c r="C46" s="2" t="s">
        <v>338</v>
      </c>
      <c r="J46" s="59">
        <f>$J$44+$J$45</f>
        <v>1307.9761904761906</v>
      </c>
    </row>
    <row r="47" spans="2:12">
      <c r="B47" s="20" t="s">
        <v>386</v>
      </c>
      <c r="C47" s="2" t="s">
        <v>338</v>
      </c>
      <c r="J47" s="63">
        <f>$J$37</f>
        <v>2400.0</v>
      </c>
    </row>
    <row r="48" spans="2:12">
      <c r="B48" s="20" t="s">
        <v>387</v>
      </c>
      <c r="C48" s="2" t="s">
        <v>338</v>
      </c>
      <c r="J48" s="63">
        <f>$J$38</f>
        <v>1450.0</v>
      </c>
    </row>
    <row r="49" spans="2:10">
      <c r="B49" s="20" t="s">
        <v>388</v>
      </c>
      <c r="C49" s="2" t="s">
        <v>102</v>
      </c>
      <c r="J49" s="60">
        <f>$J$35</f>
        <v>0.0</v>
      </c>
    </row>
    <row r="50" spans="2:10">
      <c r="B50" s="20" t="s">
        <v>389</v>
      </c>
      <c r="C50" s="2" t="s">
        <v>102</v>
      </c>
      <c r="J50" s="60">
        <f>$J$36</f>
        <v>0.0</v>
      </c>
    </row>
  </sheetData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A62C9"/>
    <pageSetUpPr fitToPage="1"/>
  </sheetPr>
  <dimension ref="A1:L61"/>
  <sheetViews>
    <sheetView showGridLines="0" zoomScale="90" zoomScaleNormal="90" workbookViewId="0"/>
  </sheetViews>
  <sheetFormatPr defaultRowHeight="15"/>
  <cols>
    <col min="1" max="1" width="2.7109375" customWidth="1"/>
    <col min="2" max="2" width="50.7109375" customWidth="1"/>
    <col min="3" max="4" width="13.7109375" customWidth="1"/>
    <col min="5" max="5" width="10.7109375" customWidth="1"/>
    <col min="6" max="7" width="12.7109375" customWidth="1"/>
    <col min="8" max="8" width="2.7109375" customWidth="1"/>
    <col min="9" max="9" width="55.7109375" customWidth="1"/>
  </cols>
  <sheetData>
    <row r="1" spans="2:12" ht="24" customHeight="1">
      <c r="B1" s="19" t="s">
        <v>390</v>
      </c>
    </row>
    <row r="2" spans="2:12">
      <c r="B2" s="2" t="s">
        <v>391</v>
      </c>
    </row>
    <row r="3" spans="2:12">
      <c r="B3" s="3" t="str">
        <f>"Model running: "&amp;Inputs!$D$23</f>
        <v>Model running: Prahladnagar | Rent | Toll roasting | Specialty mix | Base case</v>
      </c>
    </row>
    <row r="5" spans="2:12" ht="18" customHeight="1">
      <c r="B5" s="4" t="s">
        <v>392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2:12" ht="30" customHeight="1">
      <c r="B6" s="33" t="s">
        <v>393</v>
      </c>
      <c r="C6" s="33" t="s">
        <v>394</v>
      </c>
      <c r="D6" s="33" t="s">
        <v>395</v>
      </c>
      <c r="E6" s="33" t="s">
        <v>396</v>
      </c>
      <c r="F6" s="33" t="s">
        <v>397</v>
      </c>
      <c r="G6" s="33" t="s">
        <v>321</v>
      </c>
      <c r="I6" s="33" t="s">
        <v>398</v>
      </c>
    </row>
    <row r="7" spans="2:12">
      <c r="B7" s="20" t="s">
        <v>399</v>
      </c>
      <c r="C7" s="2" t="s">
        <v>400</v>
      </c>
      <c r="D7" s="29">
        <f>Locations!$H$11</f>
        <v>2600.0</v>
      </c>
      <c r="E7" s="29">
        <f>Locations!$H$6</f>
        <v>1000.0</v>
      </c>
      <c r="F7" s="86" t="s">
        <v>401</v>
      </c>
      <c r="G7" s="31">
        <f>D7*E7*(1+Inputs!$D$56)*Scenarios!$D$40/Lakh</f>
        <v>27.3</v>
      </c>
      <c r="I7" s="2" t="s">
        <v>402</v>
      </c>
    </row>
    <row r="8" spans="2:12">
      <c r="B8" s="20" t="s">
        <v>403</v>
      </c>
      <c r="C8" s="2" t="s">
        <v>404</v>
      </c>
      <c r="D8" s="46">
        <v>450</v>
      </c>
      <c r="E8" s="29">
        <f>Locations!$H$6</f>
        <v>1000.0</v>
      </c>
      <c r="F8" s="86" t="s">
        <v>405</v>
      </c>
      <c r="G8" s="31">
        <f>D8*E8*(1+Inputs!$D$56)*Scenarios!$D$40/Lakh</f>
        <v>4.725</v>
      </c>
    </row>
    <row r="9" spans="2:12">
      <c r="B9" s="20" t="s">
        <v>406</v>
      </c>
      <c r="C9" s="2" t="s">
        <v>407</v>
      </c>
      <c r="D9" s="46">
        <v>250000</v>
      </c>
      <c r="E9" s="63">
        <f>1</f>
        <v>1.0</v>
      </c>
      <c r="F9" s="86" t="s">
        <v>405</v>
      </c>
      <c r="G9" s="31">
        <f>D9*E9*(1+Inputs!$D$56)*Scenarios!$D$40/Lakh</f>
        <v>2.625</v>
      </c>
    </row>
    <row r="10" spans="2:12">
      <c r="B10" s="20" t="s">
        <v>408</v>
      </c>
      <c r="C10" s="2" t="s">
        <v>407</v>
      </c>
      <c r="D10" s="46">
        <v>800000</v>
      </c>
      <c r="E10" s="63">
        <f>1</f>
        <v>1.0</v>
      </c>
      <c r="F10" s="86" t="s">
        <v>405</v>
      </c>
      <c r="G10" s="31">
        <f>D10*E10*(1+Inputs!$D$56)*Scenarios!$D$40/Lakh</f>
        <v>8.4</v>
      </c>
      <c r="I10" s="2" t="s">
        <v>409</v>
      </c>
    </row>
    <row r="11" spans="2:12">
      <c r="B11" s="20" t="s">
        <v>410</v>
      </c>
      <c r="C11" s="2" t="s">
        <v>407</v>
      </c>
      <c r="D11" s="46">
        <v>420000</v>
      </c>
      <c r="E11" s="63">
        <f>1</f>
        <v>1.0</v>
      </c>
      <c r="F11" s="86" t="s">
        <v>405</v>
      </c>
      <c r="G11" s="31">
        <f>D11*E11*(1+Inputs!$D$56)*Scenarios!$D$40/Lakh</f>
        <v>4.41</v>
      </c>
    </row>
    <row r="12" spans="2:12">
      <c r="B12" s="20" t="s">
        <v>411</v>
      </c>
      <c r="C12" s="2" t="s">
        <v>407</v>
      </c>
      <c r="D12" s="46">
        <v>150000</v>
      </c>
      <c r="E12" s="63">
        <f>1</f>
        <v>1.0</v>
      </c>
      <c r="F12" s="86" t="s">
        <v>405</v>
      </c>
      <c r="G12" s="31">
        <f>D12*E12*(1+Inputs!$D$56)*Scenarios!$D$40/Lakh</f>
        <v>1.575</v>
      </c>
    </row>
    <row r="13" spans="2:12">
      <c r="B13" s="20" t="s">
        <v>412</v>
      </c>
      <c r="C13" s="2" t="s">
        <v>407</v>
      </c>
      <c r="D13" s="46">
        <v>550000</v>
      </c>
      <c r="E13" s="63">
        <f>1</f>
        <v>1.0</v>
      </c>
      <c r="F13" s="86" t="s">
        <v>405</v>
      </c>
      <c r="G13" s="31">
        <f>D13*E13*(1+Inputs!$D$56)*Scenarios!$D$40/Lakh</f>
        <v>5.775</v>
      </c>
    </row>
    <row r="14" spans="2:12">
      <c r="B14" s="20" t="s">
        <v>413</v>
      </c>
      <c r="C14" s="2" t="s">
        <v>407</v>
      </c>
      <c r="D14" s="46">
        <v>100000</v>
      </c>
      <c r="E14" s="63">
        <f>1</f>
        <v>1.0</v>
      </c>
      <c r="F14" s="86" t="s">
        <v>405</v>
      </c>
      <c r="G14" s="31">
        <f>D14*E14*(1+Inputs!$D$56)*Scenarios!$D$40/Lakh</f>
        <v>1.05</v>
      </c>
    </row>
    <row r="15" spans="2:12">
      <c r="B15" s="20" t="s">
        <v>414</v>
      </c>
      <c r="C15" s="2" t="s">
        <v>415</v>
      </c>
      <c r="D15" s="46">
        <v>12000</v>
      </c>
      <c r="E15" s="29">
        <f>Locations!$H$7</f>
        <v>40.0</v>
      </c>
      <c r="F15" s="86" t="s">
        <v>416</v>
      </c>
      <c r="G15" s="31">
        <f>D15*E15*(1+Inputs!$D$56)*Scenarios!$D$40/Lakh</f>
        <v>5.04</v>
      </c>
    </row>
    <row r="16" spans="2:12">
      <c r="B16" s="20" t="s">
        <v>417</v>
      </c>
      <c r="C16" s="2" t="s">
        <v>407</v>
      </c>
      <c r="D16" s="46">
        <v>150000</v>
      </c>
      <c r="E16" s="63">
        <f>1</f>
        <v>1.0</v>
      </c>
      <c r="F16" s="86" t="s">
        <v>416</v>
      </c>
      <c r="G16" s="31">
        <f>D16*E16*(1+Inputs!$D$56)*Scenarios!$D$40/Lakh</f>
        <v>1.575</v>
      </c>
    </row>
    <row r="17" spans="2:12">
      <c r="B17" s="20" t="s">
        <v>418</v>
      </c>
      <c r="C17" s="2" t="s">
        <v>407</v>
      </c>
      <c r="D17" s="46">
        <v>200000</v>
      </c>
      <c r="E17" s="63">
        <f>1</f>
        <v>1.0</v>
      </c>
      <c r="F17" s="86" t="s">
        <v>416</v>
      </c>
      <c r="G17" s="31">
        <f>D17*E17*(1+Inputs!$D$56)*Scenarios!$D$40/Lakh</f>
        <v>2.1</v>
      </c>
    </row>
    <row r="18" spans="2:12">
      <c r="B18" s="20" t="s">
        <v>419</v>
      </c>
      <c r="C18" s="2" t="s">
        <v>407</v>
      </c>
      <c r="D18" s="46">
        <v>180000</v>
      </c>
      <c r="E18" s="63">
        <f>1</f>
        <v>1.0</v>
      </c>
      <c r="F18" s="86" t="s">
        <v>420</v>
      </c>
      <c r="G18" s="31">
        <f>D18*E18*(1+Inputs!$D$56)*Scenarios!$D$40/Lakh</f>
        <v>1.89</v>
      </c>
    </row>
    <row r="19" spans="2:12">
      <c r="B19" s="20" t="s">
        <v>421</v>
      </c>
      <c r="C19" s="2" t="s">
        <v>422</v>
      </c>
      <c r="D19" s="46">
        <v>900000</v>
      </c>
      <c r="E19" s="29">
        <f>Inputs!$D$21</f>
        <v>0.0</v>
      </c>
      <c r="F19" s="86" t="s">
        <v>423</v>
      </c>
      <c r="G19" s="31">
        <f>D19*E19*(1+Inputs!$D$56)*Scenarios!$D$40/Lakh</f>
        <v>0.0</v>
      </c>
      <c r="I19" s="2" t="s">
        <v>424</v>
      </c>
    </row>
    <row r="20" spans="2:12">
      <c r="B20" s="20" t="s">
        <v>425</v>
      </c>
      <c r="C20" s="2" t="s">
        <v>422</v>
      </c>
      <c r="D20" s="46">
        <v>250000</v>
      </c>
      <c r="E20" s="29">
        <f>Inputs!$D$21</f>
        <v>0.0</v>
      </c>
      <c r="F20" s="86" t="s">
        <v>423</v>
      </c>
      <c r="G20" s="31">
        <f>D20*E20*(1+Inputs!$D$56)*Scenarios!$D$40/Lakh</f>
        <v>0.0</v>
      </c>
    </row>
    <row r="21" spans="2:12">
      <c r="B21" s="20" t="s">
        <v>426</v>
      </c>
      <c r="C21" s="2" t="s">
        <v>422</v>
      </c>
      <c r="D21" s="46">
        <v>150000</v>
      </c>
      <c r="E21" s="29">
        <f>Inputs!$D$21</f>
        <v>0.0</v>
      </c>
      <c r="F21" s="86" t="s">
        <v>423</v>
      </c>
      <c r="G21" s="31">
        <f>D21*E21*(1+Inputs!$D$56)*Scenarios!$D$40/Lakh</f>
        <v>0.0</v>
      </c>
    </row>
    <row r="22" spans="2:12">
      <c r="B22" s="20" t="s">
        <v>427</v>
      </c>
      <c r="C22" s="2" t="s">
        <v>428</v>
      </c>
      <c r="D22" s="29">
        <f>Locations!$H$11</f>
        <v>2600.0</v>
      </c>
      <c r="E22" s="29">
        <f>Inputs!$D$21*Inputs!$D$113</f>
        <v>0.0</v>
      </c>
      <c r="F22" s="86" t="s">
        <v>401</v>
      </c>
      <c r="G22" s="31">
        <f>D22*E22*(1+Inputs!$D$56)*Scenarios!$D$40/Lakh</f>
        <v>0.0</v>
      </c>
    </row>
    <row r="23" spans="2:12">
      <c r="B23" s="10" t="s">
        <v>429</v>
      </c>
      <c r="C23" s="11"/>
      <c r="D23" s="11"/>
      <c r="E23" s="11"/>
      <c r="F23" s="11"/>
      <c r="G23" s="87">
        <f>SUM(G7:G22)</f>
        <v>66.465</v>
      </c>
    </row>
    <row r="25" spans="2:12" ht="18" customHeight="1">
      <c r="B25" s="4" t="s">
        <v>430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2:12">
      <c r="B26" s="20" t="s">
        <v>431</v>
      </c>
      <c r="C26" s="2" t="s">
        <v>196</v>
      </c>
      <c r="G26" s="29">
        <f>Locations!$H$6+Inputs!$D$21*Inputs!$D$113</f>
        <v>1000.0</v>
      </c>
    </row>
    <row r="27" spans="2:12">
      <c r="B27" s="20" t="s">
        <v>432</v>
      </c>
      <c r="C27" s="2" t="s">
        <v>294</v>
      </c>
      <c r="G27" s="29">
        <f>Locations!$H$12</f>
        <v>17500.0</v>
      </c>
    </row>
    <row r="28" spans="2:12">
      <c r="B28" s="20" t="s">
        <v>433</v>
      </c>
      <c r="C28" s="2" t="s">
        <v>321</v>
      </c>
      <c r="G28" s="31">
        <f>Inputs!$D$20*$G$26*$G$27/Lakh</f>
        <v>0.0</v>
      </c>
    </row>
    <row r="29" spans="2:12">
      <c r="B29" s="20" t="s">
        <v>434</v>
      </c>
      <c r="C29" s="2" t="s">
        <v>321</v>
      </c>
      <c r="G29" s="31">
        <f>$G$28*Inputs!$D$127</f>
        <v>0.0</v>
      </c>
    </row>
    <row r="30" spans="2:12">
      <c r="B30" s="20" t="s">
        <v>435</v>
      </c>
      <c r="C30" s="2" t="s">
        <v>321</v>
      </c>
      <c r="G30" s="31">
        <f>$G$28*Inputs!$D$128</f>
        <v>0.0</v>
      </c>
    </row>
    <row r="31" spans="2:12">
      <c r="B31" s="16" t="s">
        <v>436</v>
      </c>
      <c r="C31" s="2" t="s">
        <v>321</v>
      </c>
      <c r="G31" s="88">
        <f>$G$28+$G$29+$G$30</f>
        <v>0.0</v>
      </c>
    </row>
    <row r="32" spans="2:12">
      <c r="B32" s="20" t="s">
        <v>437</v>
      </c>
      <c r="C32" s="2" t="s">
        <v>321</v>
      </c>
      <c r="G32" s="31">
        <f>$G$31*Inputs!$D$129</f>
        <v>0.0</v>
      </c>
    </row>
    <row r="33" spans="2:12">
      <c r="B33" s="20" t="s">
        <v>438</v>
      </c>
      <c r="C33" s="2" t="s">
        <v>321</v>
      </c>
      <c r="G33" s="72">
        <f>$G$31-$G$32</f>
        <v>0.0</v>
      </c>
    </row>
    <row r="35" spans="2:12" ht="18" customHeight="1">
      <c r="B35" s="4" t="s">
        <v>439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>
      <c r="B36" s="33" t="s">
        <v>397</v>
      </c>
      <c r="D36" s="33" t="s">
        <v>321</v>
      </c>
      <c r="E36" s="33" t="s">
        <v>440</v>
      </c>
      <c r="F36" s="33" t="s">
        <v>441</v>
      </c>
    </row>
    <row r="37" spans="2:12">
      <c r="B37" s="20" t="s">
        <v>401</v>
      </c>
      <c r="D37" s="72">
        <f>SUMIF($F$7:$F$22,"Interiors",$G$7:$G$22)</f>
        <v>27.3</v>
      </c>
      <c r="E37" s="62">
        <v>9</v>
      </c>
      <c r="F37" s="49">
        <v>0.1</v>
      </c>
    </row>
    <row r="38" spans="2:12">
      <c r="B38" s="20" t="s">
        <v>405</v>
      </c>
      <c r="D38" s="72">
        <f>SUMIF($F$7:$F$22,"Equipment",$G$7:$G$22)</f>
        <v>28.560000000000002</v>
      </c>
      <c r="E38" s="62">
        <v>8</v>
      </c>
      <c r="F38" s="49">
        <v>0.15</v>
      </c>
    </row>
    <row r="39" spans="2:12">
      <c r="B39" s="20" t="s">
        <v>416</v>
      </c>
      <c r="D39" s="72">
        <f>SUMIF($F$7:$F$22,"Furniture",$G$7:$G$22)</f>
        <v>8.715</v>
      </c>
      <c r="E39" s="62">
        <v>8</v>
      </c>
      <c r="F39" s="49">
        <v>0.1</v>
      </c>
    </row>
    <row r="40" spans="2:12">
      <c r="B40" s="20" t="s">
        <v>420</v>
      </c>
      <c r="D40" s="72">
        <f>SUMIF($F$7:$F$22,"IT",$G$7:$G$22)</f>
        <v>1.89</v>
      </c>
      <c r="E40" s="62">
        <v>4</v>
      </c>
      <c r="F40" s="49">
        <v>0.4</v>
      </c>
    </row>
    <row r="41" spans="2:12">
      <c r="B41" s="20" t="s">
        <v>423</v>
      </c>
      <c r="D41" s="72">
        <f>SUMIF($F$7:$F$22,"Roastery",$G$7:$G$22)</f>
        <v>0.0</v>
      </c>
      <c r="E41" s="62">
        <v>10</v>
      </c>
      <c r="F41" s="49">
        <v>0.15</v>
      </c>
    </row>
    <row r="42" spans="2:12">
      <c r="B42" s="20" t="s">
        <v>442</v>
      </c>
      <c r="D42" s="72">
        <f>$G$33</f>
        <v>0.0</v>
      </c>
      <c r="E42" s="62">
        <v>60</v>
      </c>
      <c r="F42" s="49">
        <v>0.1</v>
      </c>
    </row>
    <row r="43" spans="2:12">
      <c r="B43" s="20" t="s">
        <v>443</v>
      </c>
      <c r="D43" s="72">
        <f>$G$32</f>
        <v>0.0</v>
      </c>
      <c r="E43" s="62">
        <v>0</v>
      </c>
      <c r="F43" s="49">
        <v>0</v>
      </c>
    </row>
    <row r="44" spans="2:12">
      <c r="B44" s="10" t="s">
        <v>444</v>
      </c>
      <c r="C44" s="11"/>
      <c r="D44" s="87">
        <f>SUM($D$37:$D$43)</f>
        <v>66.465</v>
      </c>
    </row>
    <row r="45" spans="2:12">
      <c r="B45" s="2" t="s">
        <v>445</v>
      </c>
    </row>
    <row r="47" spans="2:12" ht="18" customHeight="1">
      <c r="B47" s="4" t="s">
        <v>446</v>
      </c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2:12">
      <c r="B48" s="20" t="s">
        <v>429</v>
      </c>
      <c r="C48" s="2" t="s">
        <v>321</v>
      </c>
      <c r="G48" s="72">
        <f>$G$23</f>
        <v>66.465</v>
      </c>
    </row>
    <row r="49" spans="2:9">
      <c r="B49" s="20" t="s">
        <v>447</v>
      </c>
      <c r="C49" s="2" t="s">
        <v>321</v>
      </c>
      <c r="G49" s="72">
        <f>$G$31</f>
        <v>0.0</v>
      </c>
    </row>
    <row r="50" spans="2:9">
      <c r="B50" s="20" t="s">
        <v>448</v>
      </c>
      <c r="C50" s="2" t="s">
        <v>321</v>
      </c>
      <c r="G50" s="31">
        <f>Model!F135</f>
        <v>11.0545</v>
      </c>
    </row>
    <row r="51" spans="2:9">
      <c r="B51" s="20" t="s">
        <v>449</v>
      </c>
      <c r="C51" s="2" t="s">
        <v>321</v>
      </c>
      <c r="G51" s="31">
        <f>(1-Inputs!$D$20)*Locations!$H$10*$G$26*Locations!$H$8*Scenarios!$D$38/Lakh</f>
        <v>4.6</v>
      </c>
    </row>
    <row r="52" spans="2:9">
      <c r="B52" s="20" t="s">
        <v>450</v>
      </c>
      <c r="C52" s="2" t="s">
        <v>321</v>
      </c>
      <c r="G52" s="31">
        <f>Inputs!$D$149/Lakh+Inputs!$D$150*Model!G137/12</f>
        <v>19.1085</v>
      </c>
    </row>
    <row r="53" spans="2:9">
      <c r="B53" s="10" t="s">
        <v>451</v>
      </c>
      <c r="C53" s="79" t="s">
        <v>321</v>
      </c>
      <c r="G53" s="87">
        <f>$G$48+$G$49+$G$50+$G$51+$G$52</f>
        <v>101.22800000000001</v>
      </c>
    </row>
    <row r="55" spans="2:9">
      <c r="B55" s="20" t="s">
        <v>452</v>
      </c>
      <c r="C55" s="2" t="s">
        <v>102</v>
      </c>
      <c r="G55" s="30">
        <f>IF(Inputs!$D$20=1,Inputs!$D$143,Inputs!$D$142)</f>
        <v>0.5</v>
      </c>
    </row>
    <row r="56" spans="2:9">
      <c r="B56" s="20" t="s">
        <v>453</v>
      </c>
      <c r="C56" s="2" t="s">
        <v>321</v>
      </c>
      <c r="G56" s="31">
        <f>IF($G$53*Lakh&lt;=Inputs!$D$141,0,ROUND($G$55*($G$48+$G$49),1))</f>
        <v>33.2</v>
      </c>
      <c r="I56" s="2" t="s">
        <v>454</v>
      </c>
    </row>
    <row r="57" spans="2:9">
      <c r="B57" s="20" t="s">
        <v>455</v>
      </c>
      <c r="C57" s="2" t="s">
        <v>321</v>
      </c>
      <c r="G57" s="72">
        <f>$G$53-$G$56</f>
        <v>68.028</v>
      </c>
    </row>
    <row r="58" spans="2:9">
      <c r="B58" s="10" t="s">
        <v>456</v>
      </c>
      <c r="C58" s="79" t="s">
        <v>321</v>
      </c>
      <c r="G58" s="87">
        <f>$G$56+$G$57</f>
        <v>101.22800000000001</v>
      </c>
    </row>
    <row r="59" spans="2:9">
      <c r="B59" s="20" t="s">
        <v>457</v>
      </c>
      <c r="C59" s="2" t="s">
        <v>102</v>
      </c>
      <c r="G59" s="60">
        <f>$G$56/$G$58</f>
        <v>0.3279724977279014</v>
      </c>
    </row>
    <row r="60" spans="2:9">
      <c r="B60" s="20" t="s">
        <v>458</v>
      </c>
      <c r="C60" s="2" t="s">
        <v>102</v>
      </c>
      <c r="G60" s="30">
        <f>IF(Inputs!$D$20=1,Inputs!$D$145,Inputs!$D$144)</f>
        <v>0.11</v>
      </c>
    </row>
    <row r="61" spans="2:9">
      <c r="B61" s="20" t="s">
        <v>459</v>
      </c>
      <c r="C61" s="2" t="s">
        <v>219</v>
      </c>
      <c r="G61" s="43">
        <f>IF(Inputs!$D$20=1,Inputs!$D$147,Inputs!$D$146)</f>
        <v>5.0</v>
      </c>
    </row>
  </sheetData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P221"/>
  <sheetViews>
    <sheetView showGridLines="0" zoomScale="90" zoomScaleNormal="90" workbookViewId="0">
      <pane xSplit="5" ySplit="6" topLeftCell="F7" activePane="bottomRight" state="frozen"/>
      <selection pane="topRight" activeCell="F1" sqref="F1"/>
      <selection pane="bottomLeft" activeCell="A7" sqref="A7"/>
      <selection pane="bottomRight"/>
    </sheetView>
  </sheetViews>
  <sheetFormatPr defaultRowHeight="15"/>
  <cols>
    <col min="1" max="1" width="2.7109375" customWidth="1"/>
    <col min="2" max="2" width="46.7109375" customWidth="1"/>
    <col min="3" max="3" width="12.7109375" customWidth="1"/>
    <col min="4" max="4" width="13.7109375" customWidth="1"/>
    <col min="5" max="5" width="2.7109375" customWidth="1"/>
    <col min="6" max="16" width="11.7109375" customWidth="1"/>
    <col min="17" max="17" width="2.7109375" customWidth="1"/>
    <col min="18" max="18" width="60.7109375" customWidth="1"/>
  </cols>
  <sheetData>
    <row r="1" spans="2:16" ht="24" customHeight="1">
      <c r="B1" s="19" t="s">
        <v>460</v>
      </c>
    </row>
    <row r="2" spans="2:16">
      <c r="B2" s="2" t="s">
        <v>461</v>
      </c>
    </row>
    <row r="3" spans="2:16">
      <c r="B3" s="3" t="str">
        <f>"Model running: "&amp;Inputs!$D$23</f>
        <v>Model running: Prahladnagar | Rent | Toll roasting | Specialty mix | Base case</v>
      </c>
    </row>
    <row r="5" spans="2:16">
      <c r="B5" s="36" t="s">
        <v>62</v>
      </c>
      <c r="C5" s="26" t="s">
        <v>43</v>
      </c>
      <c r="D5" s="37" t="s">
        <v>63</v>
      </c>
      <c r="E5" s="38"/>
      <c r="F5" s="28">
        <f>Inputs!F5</f>
        <v>2027.0</v>
      </c>
      <c r="G5" s="28">
        <f>Inputs!G5</f>
        <v>2028.0</v>
      </c>
      <c r="H5" s="28">
        <f>Inputs!H5</f>
        <v>2029.0</v>
      </c>
      <c r="I5" s="28">
        <f>Inputs!I5</f>
        <v>2030.0</v>
      </c>
      <c r="J5" s="28">
        <f>Inputs!J5</f>
        <v>2031.0</v>
      </c>
      <c r="K5" s="28">
        <f>Inputs!K5</f>
        <v>2032.0</v>
      </c>
      <c r="L5" s="28">
        <f>Inputs!L5</f>
        <v>2033.0</v>
      </c>
      <c r="M5" s="28">
        <f>Inputs!M5</f>
        <v>2034.0</v>
      </c>
      <c r="N5" s="28">
        <f>Inputs!N5</f>
        <v>2035.0</v>
      </c>
      <c r="O5" s="28">
        <f>Inputs!O5</f>
        <v>2036.0</v>
      </c>
      <c r="P5" s="28">
        <f>Inputs!P5</f>
        <v>2037.0</v>
      </c>
    </row>
    <row r="6" spans="2:16">
      <c r="B6" s="2" t="s">
        <v>64</v>
      </c>
      <c r="F6" s="40">
        <f>F5-Inputs!$D$26</f>
        <v>0.0</v>
      </c>
      <c r="G6" s="40">
        <f>G5-Inputs!$D$26</f>
        <v>1.0</v>
      </c>
      <c r="H6" s="40">
        <f>H5-Inputs!$D$26</f>
        <v>2.0</v>
      </c>
      <c r="I6" s="40">
        <f>I5-Inputs!$D$26</f>
        <v>3.0</v>
      </c>
      <c r="J6" s="40">
        <f>J5-Inputs!$D$26</f>
        <v>4.0</v>
      </c>
      <c r="K6" s="40">
        <f>K5-Inputs!$D$26</f>
        <v>5.0</v>
      </c>
      <c r="L6" s="40">
        <f>L5-Inputs!$D$26</f>
        <v>6.0</v>
      </c>
      <c r="M6" s="40">
        <f>M5-Inputs!$D$26</f>
        <v>7.0</v>
      </c>
      <c r="N6" s="40">
        <f>N5-Inputs!$D$26</f>
        <v>8.0</v>
      </c>
      <c r="O6" s="40">
        <f>O5-Inputs!$D$26</f>
        <v>9.0</v>
      </c>
      <c r="P6" s="40">
        <f>P5-Inputs!$D$26</f>
        <v>10.0</v>
      </c>
    </row>
    <row r="7" spans="2:16">
      <c r="B7" s="20" t="s">
        <v>462</v>
      </c>
      <c r="C7" s="2" t="s">
        <v>90</v>
      </c>
      <c r="F7" s="44">
        <f>IF(F6&gt;=1,1,0)</f>
        <v>0.0</v>
      </c>
      <c r="G7" s="44">
        <f>IF(G6&gt;=1,1,0)</f>
        <v>1.0</v>
      </c>
      <c r="H7" s="44">
        <f>IF(H6&gt;=1,1,0)</f>
        <v>1.0</v>
      </c>
      <c r="I7" s="44">
        <f>IF(I6&gt;=1,1,0)</f>
        <v>1.0</v>
      </c>
      <c r="J7" s="44">
        <f>IF(J6&gt;=1,1,0)</f>
        <v>1.0</v>
      </c>
      <c r="K7" s="44">
        <f>IF(K6&gt;=1,1,0)</f>
        <v>1.0</v>
      </c>
      <c r="L7" s="44">
        <f>IF(L6&gt;=1,1,0)</f>
        <v>1.0</v>
      </c>
      <c r="M7" s="44">
        <f>IF(M6&gt;=1,1,0)</f>
        <v>1.0</v>
      </c>
      <c r="N7" s="44">
        <f>IF(N6&gt;=1,1,0)</f>
        <v>1.0</v>
      </c>
      <c r="O7" s="44">
        <f>IF(O6&gt;=1,1,0)</f>
        <v>1.0</v>
      </c>
      <c r="P7" s="44">
        <f>IF(P6&gt;=1,1,0)</f>
        <v>1.0</v>
      </c>
    </row>
    <row r="8" spans="2:16">
      <c r="B8" s="20" t="s">
        <v>463</v>
      </c>
      <c r="C8" s="2" t="s">
        <v>113</v>
      </c>
      <c r="F8" s="89">
        <f>(1+Inputs!$D$73)^MAX(0,F6-1)</f>
        <v>1.0</v>
      </c>
      <c r="G8" s="89">
        <f>(1+Inputs!$D$73)^MAX(0,G6-1)</f>
        <v>1.0</v>
      </c>
      <c r="H8" s="89">
        <f>(1+Inputs!$D$73)^MAX(0,H6-1)</f>
        <v>1.05</v>
      </c>
      <c r="I8" s="89">
        <f>(1+Inputs!$D$73)^MAX(0,I6-1)</f>
        <v>1.1025</v>
      </c>
      <c r="J8" s="89">
        <f>(1+Inputs!$D$73)^MAX(0,J6-1)</f>
        <v>1.1576250000000001</v>
      </c>
      <c r="K8" s="89">
        <f>(1+Inputs!$D$73)^MAX(0,K6-1)</f>
        <v>1.2155062500000002</v>
      </c>
      <c r="L8" s="89">
        <f>(1+Inputs!$D$73)^MAX(0,L6-1)</f>
        <v>1.2762815625000004</v>
      </c>
      <c r="M8" s="89">
        <f>(1+Inputs!$D$73)^MAX(0,M6-1)</f>
        <v>1.3400956406250004</v>
      </c>
      <c r="N8" s="89">
        <f>(1+Inputs!$D$73)^MAX(0,N6-1)</f>
        <v>1.4071004226562505</v>
      </c>
      <c r="O8" s="89">
        <f>(1+Inputs!$D$73)^MAX(0,O6-1)</f>
        <v>1.477455443789063</v>
      </c>
      <c r="P8" s="89">
        <f>(1+Inputs!$D$73)^MAX(0,P6-1)</f>
        <v>1.5513282159785162</v>
      </c>
    </row>
    <row r="9" spans="2:16">
      <c r="B9" s="20" t="s">
        <v>464</v>
      </c>
      <c r="C9" s="2" t="s">
        <v>113</v>
      </c>
      <c r="F9" s="89">
        <f>(1+Inputs!$D$111)^MAX(0,F6-1)</f>
        <v>1.0</v>
      </c>
      <c r="G9" s="89">
        <f>(1+Inputs!$D$111)^MAX(0,G6-1)</f>
        <v>1.0</v>
      </c>
      <c r="H9" s="89">
        <f>(1+Inputs!$D$111)^MAX(0,H6-1)</f>
        <v>1.05</v>
      </c>
      <c r="I9" s="89">
        <f>(1+Inputs!$D$111)^MAX(0,I6-1)</f>
        <v>1.1025</v>
      </c>
      <c r="J9" s="89">
        <f>(1+Inputs!$D$111)^MAX(0,J6-1)</f>
        <v>1.1576250000000001</v>
      </c>
      <c r="K9" s="89">
        <f>(1+Inputs!$D$111)^MAX(0,K6-1)</f>
        <v>1.2155062500000002</v>
      </c>
      <c r="L9" s="89">
        <f>(1+Inputs!$D$111)^MAX(0,L6-1)</f>
        <v>1.2762815625000004</v>
      </c>
      <c r="M9" s="89">
        <f>(1+Inputs!$D$111)^MAX(0,M6-1)</f>
        <v>1.3400956406250004</v>
      </c>
      <c r="N9" s="89">
        <f>(1+Inputs!$D$111)^MAX(0,N6-1)</f>
        <v>1.4071004226562505</v>
      </c>
      <c r="O9" s="89">
        <f>(1+Inputs!$D$111)^MAX(0,O6-1)</f>
        <v>1.477455443789063</v>
      </c>
      <c r="P9" s="89">
        <f>(1+Inputs!$D$111)^MAX(0,P6-1)</f>
        <v>1.5513282159785162</v>
      </c>
    </row>
    <row r="11" spans="2:16" ht="18" customHeight="1">
      <c r="B11" s="4" t="s">
        <v>465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2:16">
      <c r="B12" s="20" t="s">
        <v>466</v>
      </c>
      <c r="C12" s="2" t="s">
        <v>321</v>
      </c>
      <c r="F12" s="72">
        <f>F92</f>
        <v>0.0</v>
      </c>
      <c r="G12" s="72">
        <f>G92</f>
        <v>64.99584</v>
      </c>
      <c r="H12" s="72">
        <f>H92</f>
        <v>89.244288</v>
      </c>
      <c r="I12" s="72">
        <f>I92</f>
        <v>110.24294400000001</v>
      </c>
      <c r="J12" s="72">
        <f>J92</f>
        <v>118.64896848000002</v>
      </c>
      <c r="K12" s="72">
        <f>K92</f>
        <v>127.6959523266</v>
      </c>
      <c r="L12" s="72">
        <f>L92</f>
        <v>137.43276869150324</v>
      </c>
      <c r="M12" s="72">
        <f>M92</f>
        <v>147.9120173042304</v>
      </c>
      <c r="N12" s="72">
        <f>N92</f>
        <v>159.19030862367794</v>
      </c>
      <c r="O12" s="72">
        <f>O92</f>
        <v>171.32856965623336</v>
      </c>
      <c r="P12" s="72">
        <f>P92</f>
        <v>184.39237309252115</v>
      </c>
    </row>
    <row r="13" spans="2:16">
      <c r="B13" s="20" t="s">
        <v>467</v>
      </c>
      <c r="C13" s="2" t="s">
        <v>321</v>
      </c>
      <c r="F13" s="72">
        <f>F93</f>
        <v>0.0</v>
      </c>
      <c r="G13" s="72">
        <f>G93</f>
        <v>31.449599999999997</v>
      </c>
      <c r="H13" s="72">
        <f>H93</f>
        <v>43.182719999999996</v>
      </c>
      <c r="I13" s="72">
        <f>I93</f>
        <v>53.343360000000004</v>
      </c>
      <c r="J13" s="72">
        <f>J93</f>
        <v>57.410791200000006</v>
      </c>
      <c r="K13" s="72">
        <f>K93</f>
        <v>61.78836402899999</v>
      </c>
      <c r="L13" s="72">
        <f>L93</f>
        <v>66.49972678621126</v>
      </c>
      <c r="M13" s="72">
        <f>M93</f>
        <v>71.57033095365986</v>
      </c>
      <c r="N13" s="72">
        <f>N93</f>
        <v>77.02756868887643</v>
      </c>
      <c r="O13" s="72">
        <f>O93</f>
        <v>82.90092080140323</v>
      </c>
      <c r="P13" s="72">
        <f>P93</f>
        <v>89.22211601251024</v>
      </c>
    </row>
    <row r="14" spans="2:16">
      <c r="B14" s="20" t="s">
        <v>468</v>
      </c>
      <c r="C14" s="2" t="s">
        <v>321</v>
      </c>
      <c r="F14" s="72">
        <f>F94</f>
        <v>0.0</v>
      </c>
      <c r="G14" s="72">
        <f>G94</f>
        <v>8.38656</v>
      </c>
      <c r="H14" s="72">
        <f>H94</f>
        <v>11.515392</v>
      </c>
      <c r="I14" s="72">
        <f>I94</f>
        <v>14.224896000000001</v>
      </c>
      <c r="J14" s="72">
        <f>J94</f>
        <v>15.309544320000002</v>
      </c>
      <c r="K14" s="72">
        <f>K94</f>
        <v>16.4768970744</v>
      </c>
      <c r="L14" s="72">
        <f>L94</f>
        <v>17.733260476323</v>
      </c>
      <c r="M14" s="72">
        <f>M94</f>
        <v>19.08542158764263</v>
      </c>
      <c r="N14" s="72">
        <f>N94</f>
        <v>20.54068498370038</v>
      </c>
      <c r="O14" s="72">
        <f>O94</f>
        <v>22.106912213707528</v>
      </c>
      <c r="P14" s="72">
        <f>P94</f>
        <v>23.79256427000273</v>
      </c>
    </row>
    <row r="15" spans="2:16">
      <c r="B15" s="20" t="s">
        <v>469</v>
      </c>
      <c r="C15" s="2" t="s">
        <v>321</v>
      </c>
      <c r="F15" s="72">
        <f>F97</f>
        <v>0.0</v>
      </c>
      <c r="G15" s="72">
        <f>G97</f>
        <v>0.0</v>
      </c>
      <c r="H15" s="72">
        <f>H97</f>
        <v>0.0</v>
      </c>
      <c r="I15" s="72">
        <f>I97</f>
        <v>0.0</v>
      </c>
      <c r="J15" s="72">
        <f>J97</f>
        <v>0.0</v>
      </c>
      <c r="K15" s="72">
        <f>K97</f>
        <v>0.0</v>
      </c>
      <c r="L15" s="72">
        <f>L97</f>
        <v>0.0</v>
      </c>
      <c r="M15" s="72">
        <f>M97</f>
        <v>0.0</v>
      </c>
      <c r="N15" s="72">
        <f>N97</f>
        <v>0.0</v>
      </c>
      <c r="O15" s="72">
        <f>O97</f>
        <v>0.0</v>
      </c>
      <c r="P15" s="72">
        <f>P97</f>
        <v>0.0</v>
      </c>
    </row>
    <row r="16" spans="2:16">
      <c r="B16" s="10" t="s">
        <v>470</v>
      </c>
      <c r="C16" s="79" t="s">
        <v>321</v>
      </c>
      <c r="D16" s="11"/>
      <c r="E16" s="11"/>
      <c r="F16" s="87">
        <f>SUM(F12:F15)</f>
        <v>0.0</v>
      </c>
      <c r="G16" s="87">
        <f>SUM(G12:G15)</f>
        <v>104.832</v>
      </c>
      <c r="H16" s="87">
        <f>SUM(H12:H15)</f>
        <v>143.9424</v>
      </c>
      <c r="I16" s="87">
        <f>SUM(I12:I15)</f>
        <v>177.8112</v>
      </c>
      <c r="J16" s="87">
        <f>SUM(J12:J15)</f>
        <v>191.36930400000003</v>
      </c>
      <c r="K16" s="87">
        <f>SUM(K12:K15)</f>
        <v>205.96121343</v>
      </c>
      <c r="L16" s="87">
        <f>SUM(L12:L15)</f>
        <v>221.6657559540375</v>
      </c>
      <c r="M16" s="87">
        <f>SUM(M12:M15)</f>
        <v>238.5677698455329</v>
      </c>
      <c r="N16" s="87">
        <f>SUM(N12:N15)</f>
        <v>256.75856229625475</v>
      </c>
      <c r="O16" s="87">
        <f>SUM(O12:O15)</f>
        <v>276.3364026713441</v>
      </c>
      <c r="P16" s="87">
        <f>SUM(P12:P15)</f>
        <v>297.40705337503414</v>
      </c>
    </row>
    <row r="17" spans="2:16">
      <c r="B17" s="90" t="s">
        <v>471</v>
      </c>
      <c r="C17" s="2" t="s">
        <v>102</v>
      </c>
      <c r="F17" s="91"/>
      <c r="G17" s="91"/>
      <c r="H17" s="92">
        <f>IF(G16&gt;0,H16/G16-1,0)</f>
        <v>0.3730769230769231</v>
      </c>
      <c r="I17" s="92">
        <f>IF(H16&gt;0,I16/H16-1,0)</f>
        <v>0.23529411764705888</v>
      </c>
      <c r="J17" s="92">
        <f>IF(I16&gt;0,J16/I16-1,0)</f>
        <v>0.07625000000000015</v>
      </c>
      <c r="K17" s="92">
        <f>IF(J16&gt;0,K16/J16-1,0)</f>
        <v>0.0762499999999997</v>
      </c>
      <c r="L17" s="92">
        <f>IF(K16&gt;0,L16/K16-1,0)</f>
        <v>0.07625000000000015</v>
      </c>
      <c r="M17" s="92">
        <f>IF(L16&gt;0,M16/L16-1,0)</f>
        <v>0.07625000000000015</v>
      </c>
      <c r="N17" s="92">
        <f>IF(M16&gt;0,N16/M16-1,0)</f>
        <v>0.07624999999999993</v>
      </c>
      <c r="O17" s="92">
        <f>IF(N16&gt;0,O16/N16-1,0)</f>
        <v>0.0762499999999997</v>
      </c>
      <c r="P17" s="92">
        <f>IF(O16&gt;0,P16/O16-1,0)</f>
        <v>0.07625000000000015</v>
      </c>
    </row>
    <row r="18" spans="2:16">
      <c r="B18" s="20" t="s">
        <v>472</v>
      </c>
      <c r="C18" s="2" t="s">
        <v>321</v>
      </c>
      <c r="F18" s="72">
        <f>-F114</f>
        <v>-0.0</v>
      </c>
      <c r="G18" s="72">
        <f>-G114</f>
        <v>-31.702696631272726</v>
      </c>
      <c r="H18" s="72">
        <f>-H114</f>
        <v>-43.29904442254546</v>
      </c>
      <c r="I18" s="72">
        <f>-I114</f>
        <v>-53.20689884808728</v>
      </c>
      <c r="J18" s="72">
        <f>-J114</f>
        <v>-56.96777378527456</v>
      </c>
      <c r="K18" s="72">
        <f>-K114</f>
        <v>-60.99958156347864</v>
      </c>
      <c r="L18" s="72">
        <f>-L114</f>
        <v>-65.32164193737754</v>
      </c>
      <c r="M18" s="72">
        <f>-M114</f>
        <v>-69.95467243851051</v>
      </c>
      <c r="N18" s="72">
        <f>-N114</f>
        <v>-74.9208915671667</v>
      </c>
      <c r="O18" s="72">
        <f>-O114</f>
        <v>-80.24570687956142</v>
      </c>
      <c r="P18" s="72">
        <f>-P114</f>
        <v>-85.95479819953255</v>
      </c>
    </row>
    <row r="19" spans="2:16">
      <c r="B19" s="10" t="s">
        <v>473</v>
      </c>
      <c r="C19" s="79" t="s">
        <v>321</v>
      </c>
      <c r="D19" s="11"/>
      <c r="E19" s="11"/>
      <c r="F19" s="87">
        <f>F16+F18</f>
        <v>0.0</v>
      </c>
      <c r="G19" s="87">
        <f>G16+G18</f>
        <v>73.12930336872726</v>
      </c>
      <c r="H19" s="87">
        <f>H16+H18</f>
        <v>100.64335557745454</v>
      </c>
      <c r="I19" s="87">
        <f>I16+I18</f>
        <v>124.60430115191274</v>
      </c>
      <c r="J19" s="87">
        <f>J16+J18</f>
        <v>134.40153021472548</v>
      </c>
      <c r="K19" s="87">
        <f>K16+K18</f>
        <v>144.96163186652134</v>
      </c>
      <c r="L19" s="87">
        <f>L16+L18</f>
        <v>156.34411401665997</v>
      </c>
      <c r="M19" s="87">
        <f>M16+M18</f>
        <v>168.6130974070224</v>
      </c>
      <c r="N19" s="87">
        <f>N16+N18</f>
        <v>181.83767072908805</v>
      </c>
      <c r="O19" s="87">
        <f>O16+O18</f>
        <v>196.09069579178268</v>
      </c>
      <c r="P19" s="87">
        <f>P16+P18</f>
        <v>211.4522551755016</v>
      </c>
    </row>
    <row r="20" spans="2:16">
      <c r="B20" s="90" t="s">
        <v>474</v>
      </c>
      <c r="C20" s="2" t="s">
        <v>102</v>
      </c>
      <c r="F20" s="92">
        <f>IF(F16&gt;0,F19/F16,0)</f>
        <v>0.0</v>
      </c>
      <c r="G20" s="92">
        <f>IF(G16&gt;0,G19/G16,0)</f>
        <v>0.6975856930014429</v>
      </c>
      <c r="H20" s="92">
        <f>IF(H16&gt;0,H19/H16,0)</f>
        <v>0.699191868257404</v>
      </c>
      <c r="I20" s="92">
        <f>IF(I16&gt;0,I19/I16,0)</f>
        <v>0.7007674496989656</v>
      </c>
      <c r="J20" s="92">
        <f>IF(J16&gt;0,J19/J16,0)</f>
        <v>0.7023149868106615</v>
      </c>
      <c r="K20" s="92">
        <f>IF(K16&gt;0,K19/K16,0)</f>
        <v>0.703829762178933</v>
      </c>
      <c r="L20" s="92">
        <f>IF(L16&gt;0,L19/L16,0)</f>
        <v>0.7053146903262676</v>
      </c>
      <c r="M20" s="92">
        <f>IF(M16&gt;0,M19/M16,0)</f>
        <v>0.7067723251812073</v>
      </c>
      <c r="N20" s="92">
        <f>IF(N16&gt;0,N19/N16,0)</f>
        <v>0.708204895302689</v>
      </c>
      <c r="O20" s="92">
        <f>IF(O16&gt;0,O19/O16,0)</f>
        <v>0.7096086288168112</v>
      </c>
      <c r="P20" s="92">
        <f>IF(P16&gt;0,P19/P16,0)</f>
        <v>0.7109860131960541</v>
      </c>
    </row>
    <row r="21" spans="2:16">
      <c r="B21" s="20" t="s">
        <v>475</v>
      </c>
      <c r="C21" s="2" t="s">
        <v>321</v>
      </c>
      <c r="F21" s="72">
        <f>-F121</f>
        <v>-0.0</v>
      </c>
      <c r="G21" s="72">
        <f>-G121</f>
        <v>-39.053999999999995</v>
      </c>
      <c r="H21" s="72">
        <f>-H121</f>
        <v>-42.17832</v>
      </c>
      <c r="I21" s="72">
        <f>-I121</f>
        <v>-45.55258559999999</v>
      </c>
      <c r="J21" s="72">
        <f>-J121</f>
        <v>-49.8117523536</v>
      </c>
      <c r="K21" s="72">
        <f>-K121</f>
        <v>-54.47745315738721</v>
      </c>
      <c r="L21" s="72">
        <f>-L121</f>
        <v>-59.5892514113358</v>
      </c>
      <c r="M21" s="72">
        <f>-M121</f>
        <v>-65.19062893974555</v>
      </c>
      <c r="N21" s="72">
        <f>-N121</f>
        <v>-71.32938007388688</v>
      </c>
      <c r="O21" s="72">
        <f>-O121</f>
        <v>-78.0580458863884</v>
      </c>
      <c r="P21" s="72">
        <f>-P121</f>
        <v>-85.43439271239527</v>
      </c>
    </row>
    <row r="22" spans="2:16">
      <c r="B22" s="20" t="s">
        <v>476</v>
      </c>
      <c r="C22" s="2" t="s">
        <v>321</v>
      </c>
      <c r="F22" s="72">
        <f>-(F122+F123+F124)</f>
        <v>-0.0</v>
      </c>
      <c r="G22" s="72">
        <f>-(G122+G123+G124)</f>
        <v>-14.280000000000001</v>
      </c>
      <c r="H22" s="72">
        <f>-(H122+H123+H124)</f>
        <v>-14.994</v>
      </c>
      <c r="I22" s="72">
        <f>-(I122+I123+I124)</f>
        <v>-15.743699999999999</v>
      </c>
      <c r="J22" s="72">
        <f>-(J122+J123+J124)</f>
        <v>-16.530885</v>
      </c>
      <c r="K22" s="72">
        <f>-(K122+K123+K124)</f>
        <v>-17.357429250000003</v>
      </c>
      <c r="L22" s="72">
        <f>-(L122+L123+L124)</f>
        <v>-18.225300712500005</v>
      </c>
      <c r="M22" s="72">
        <f>-(M122+M123+M124)</f>
        <v>-19.136565748125005</v>
      </c>
      <c r="N22" s="72">
        <f>-(N122+N123+N124)</f>
        <v>-20.093394035531258</v>
      </c>
      <c r="O22" s="72">
        <f>-(O122+O123+O124)</f>
        <v>-21.098063737307818</v>
      </c>
      <c r="P22" s="72">
        <f>-(P122+P123+P124)</f>
        <v>-22.15296692417321</v>
      </c>
    </row>
    <row r="23" spans="2:16">
      <c r="B23" s="20" t="s">
        <v>477</v>
      </c>
      <c r="C23" s="2" t="s">
        <v>321</v>
      </c>
      <c r="F23" s="72">
        <f>-(F125+F126)</f>
        <v>-0.0</v>
      </c>
      <c r="G23" s="72">
        <f>-(G125+G126)</f>
        <v>-7.5</v>
      </c>
      <c r="H23" s="72">
        <f>-(H125+H126)</f>
        <v>-7.818</v>
      </c>
      <c r="I23" s="72">
        <f>-(I125+I126)</f>
        <v>-8.14962</v>
      </c>
      <c r="J23" s="72">
        <f>-(J125+J126)</f>
        <v>-8.495449800000001</v>
      </c>
      <c r="K23" s="72">
        <f>-(K125+K126)</f>
        <v>-8.856105042000001</v>
      </c>
      <c r="L23" s="72">
        <f>-(L125+L126)</f>
        <v>-9.232228356180002</v>
      </c>
      <c r="M23" s="72">
        <f>-(M125+M126)</f>
        <v>-9.624490558552203</v>
      </c>
      <c r="N23" s="72">
        <f>-(N125+N126)</f>
        <v>-10.03359190242554</v>
      </c>
      <c r="O23" s="72">
        <f>-(O125+O126)</f>
        <v>-10.460263386130375</v>
      </c>
      <c r="P23" s="72">
        <f>-(P125+P126)</f>
        <v>-10.905268119563795</v>
      </c>
    </row>
    <row r="24" spans="2:16">
      <c r="B24" s="20" t="s">
        <v>478</v>
      </c>
      <c r="C24" s="2" t="s">
        <v>321</v>
      </c>
      <c r="F24" s="72">
        <f>-F127</f>
        <v>-0.0</v>
      </c>
      <c r="G24" s="72">
        <f>-G127</f>
        <v>-5.2416</v>
      </c>
      <c r="H24" s="72">
        <f>-H127</f>
        <v>-4.3182719999999994</v>
      </c>
      <c r="I24" s="72">
        <f>-I127</f>
        <v>-5.334336</v>
      </c>
      <c r="J24" s="72">
        <f>-J127</f>
        <v>-5.74107912</v>
      </c>
      <c r="K24" s="72">
        <f>-K127</f>
        <v>-6.178836402899999</v>
      </c>
      <c r="L24" s="72">
        <f>-L127</f>
        <v>-6.649972678621125</v>
      </c>
      <c r="M24" s="72">
        <f>-M127</f>
        <v>-7.157033095365986</v>
      </c>
      <c r="N24" s="72">
        <f>-N127</f>
        <v>-7.702756868887643</v>
      </c>
      <c r="O24" s="72">
        <f>-O127</f>
        <v>-8.290092080140322</v>
      </c>
      <c r="P24" s="72">
        <f>-P127</f>
        <v>-8.922211601251023</v>
      </c>
    </row>
    <row r="25" spans="2:16">
      <c r="B25" s="20" t="s">
        <v>479</v>
      </c>
      <c r="C25" s="2" t="s">
        <v>321</v>
      </c>
      <c r="F25" s="72">
        <f>-(F130+F131)</f>
        <v>-0.0</v>
      </c>
      <c r="G25" s="72">
        <f>-(G130+G131)</f>
        <v>-4.554950399999999</v>
      </c>
      <c r="H25" s="72">
        <f>-(H130+H131)</f>
        <v>-6.254297279999999</v>
      </c>
      <c r="I25" s="72">
        <f>-(I130+I131)</f>
        <v>-7.72589664</v>
      </c>
      <c r="J25" s="72">
        <f>-(J130+J131)</f>
        <v>-8.3149962588</v>
      </c>
      <c r="K25" s="72">
        <f>-(K130+K131)</f>
        <v>-8.9490147235335</v>
      </c>
      <c r="L25" s="72">
        <f>-(L130+L131)</f>
        <v>-9.63137709620293</v>
      </c>
      <c r="M25" s="72">
        <f>-(M130+M131)</f>
        <v>-10.365769599788404</v>
      </c>
      <c r="N25" s="72">
        <f>-(N130+N131)</f>
        <v>-11.15615953177227</v>
      </c>
      <c r="O25" s="72">
        <f>-(O130+O131)</f>
        <v>-12.006816696069901</v>
      </c>
      <c r="P25" s="72">
        <f>-(P130+P131)</f>
        <v>-12.922336469145232</v>
      </c>
    </row>
    <row r="26" spans="2:16">
      <c r="B26" s="20" t="s">
        <v>480</v>
      </c>
      <c r="C26" s="2" t="s">
        <v>321</v>
      </c>
      <c r="F26" s="72">
        <f>-(F128+F129)</f>
        <v>-0.0</v>
      </c>
      <c r="G26" s="72">
        <f>-(G128+G129)</f>
        <v>-2.1724799999999997</v>
      </c>
      <c r="H26" s="72">
        <f>-(H128+H129)</f>
        <v>-2.7891359999999996</v>
      </c>
      <c r="I26" s="72">
        <f>-(I128+I129)</f>
        <v>-3.3286680000000004</v>
      </c>
      <c r="J26" s="72">
        <f>-(J128+J129)</f>
        <v>-3.5651145600000005</v>
      </c>
      <c r="K26" s="72">
        <f>-(K128+K129)</f>
        <v>-3.8187219514499997</v>
      </c>
      <c r="L26" s="72">
        <f>-(L128+L129)</f>
        <v>-4.090755276810563</v>
      </c>
      <c r="M26" s="72">
        <f>-(M128+M129)</f>
        <v>-4.382573932057993</v>
      </c>
      <c r="N26" s="72">
        <f>-(N128+N129)</f>
        <v>-4.695638688037572</v>
      </c>
      <c r="O26" s="72">
        <f>-(O128+O129)</f>
        <v>-5.031519306343599</v>
      </c>
      <c r="P26" s="72">
        <f>-(P128+P129)</f>
        <v>-5.391902730212621</v>
      </c>
    </row>
    <row r="27" spans="2:16">
      <c r="B27" s="20" t="s">
        <v>481</v>
      </c>
      <c r="C27" s="2" t="s">
        <v>321</v>
      </c>
      <c r="F27" s="72">
        <f>-(F132+F133+F134)</f>
        <v>-0.0</v>
      </c>
      <c r="G27" s="72">
        <f>-(G132+G133+G134)</f>
        <v>-4.04832</v>
      </c>
      <c r="H27" s="72">
        <f>-(H132+H133+H134)</f>
        <v>-4.589424</v>
      </c>
      <c r="I27" s="72">
        <f>-(I132+I133+I134)</f>
        <v>-5.085612</v>
      </c>
      <c r="J27" s="72">
        <f>-(J132+J133+J134)</f>
        <v>-5.386568040000001</v>
      </c>
      <c r="K27" s="72">
        <f>-(K132+K133+K134)</f>
        <v>-5.7061308843</v>
      </c>
      <c r="L27" s="72">
        <f>-(L132+L133+L134)</f>
        <v>-6.0455022470403765</v>
      </c>
      <c r="M27" s="72">
        <f>-(M132+M133+M134)</f>
        <v>-6.40596462033033</v>
      </c>
      <c r="N27" s="72">
        <f>-(N132+N133+N134)</f>
        <v>-6.788886890931299</v>
      </c>
      <c r="O27" s="72">
        <f>-(O132+O133+O134)</f>
        <v>-7.195730358080629</v>
      </c>
      <c r="P27" s="72">
        <f>-(P132+P133+P134)</f>
        <v>-7.628055181685889</v>
      </c>
    </row>
    <row r="28" spans="2:16">
      <c r="B28" s="20" t="s">
        <v>448</v>
      </c>
      <c r="C28" s="2" t="s">
        <v>321</v>
      </c>
      <c r="F28" s="72">
        <f>-F135</f>
        <v>-11.0545</v>
      </c>
      <c r="G28" s="72">
        <f>-G135</f>
        <v>-0.0</v>
      </c>
      <c r="H28" s="72">
        <f>-H135</f>
        <v>-0.0</v>
      </c>
      <c r="I28" s="72">
        <f>-I135</f>
        <v>-0.0</v>
      </c>
      <c r="J28" s="72">
        <f>-J135</f>
        <v>-0.0</v>
      </c>
      <c r="K28" s="72">
        <f>-K135</f>
        <v>-0.0</v>
      </c>
      <c r="L28" s="72">
        <f>-L135</f>
        <v>-0.0</v>
      </c>
      <c r="M28" s="72">
        <f>-M135</f>
        <v>-0.0</v>
      </c>
      <c r="N28" s="72">
        <f>-N135</f>
        <v>-0.0</v>
      </c>
      <c r="O28" s="72">
        <f>-O135</f>
        <v>-0.0</v>
      </c>
      <c r="P28" s="72">
        <f>-P135</f>
        <v>-0.0</v>
      </c>
    </row>
    <row r="29" spans="2:16">
      <c r="B29" s="10" t="s">
        <v>482</v>
      </c>
      <c r="C29" s="79" t="s">
        <v>321</v>
      </c>
      <c r="D29" s="11"/>
      <c r="E29" s="11"/>
      <c r="F29" s="87">
        <f>SUM(F19,F21:F28)</f>
        <v>-11.0545</v>
      </c>
      <c r="G29" s="87">
        <f>SUM(G19,G21:G28)</f>
        <v>-3.7220470312727336</v>
      </c>
      <c r="H29" s="87">
        <f>SUM(H19,H21:H28)</f>
        <v>17.70190629745455</v>
      </c>
      <c r="I29" s="87">
        <f>SUM(I19,I21:I28)</f>
        <v>33.68388291191275</v>
      </c>
      <c r="J29" s="87">
        <f>SUM(J19,J21:J28)</f>
        <v>36.55568508232548</v>
      </c>
      <c r="K29" s="87">
        <f>SUM(K19,K21:K28)</f>
        <v>39.617940454950634</v>
      </c>
      <c r="L29" s="87">
        <f>SUM(L19,L21:L28)</f>
        <v>42.879726237969166</v>
      </c>
      <c r="M29" s="87">
        <f>SUM(M19,M21:M28)</f>
        <v>46.35007091305692</v>
      </c>
      <c r="N29" s="87">
        <f>SUM(N19,N21:N28)</f>
        <v>50.037862737615576</v>
      </c>
      <c r="O29" s="87">
        <f>SUM(O19,O21:O28)</f>
        <v>53.950164341321646</v>
      </c>
      <c r="P29" s="87">
        <f>SUM(P19,P21:P28)</f>
        <v>58.09512143707456</v>
      </c>
    </row>
    <row r="30" spans="2:16">
      <c r="B30" s="90" t="s">
        <v>483</v>
      </c>
      <c r="C30" s="2" t="s">
        <v>102</v>
      </c>
      <c r="F30" s="92">
        <f>IF(F16&gt;0,F29/F16,0)</f>
        <v>0.0</v>
      </c>
      <c r="G30" s="92">
        <f>IF(G16&gt;0,G29/G16,0)</f>
        <v>-0.035504874764124825</v>
      </c>
      <c r="H30" s="92">
        <f>IF(H16&gt;0,H29/H16,0)</f>
        <v>0.12297909648202719</v>
      </c>
      <c r="I30" s="92">
        <f>IF(I16&gt;0,I29/I16,0)</f>
        <v>0.18943622736876387</v>
      </c>
      <c r="J30" s="92">
        <f>IF(J16&gt;0,J29/J16,0)</f>
        <v>0.19102167546329937</v>
      </c>
      <c r="K30" s="92">
        <f>IF(K16&gt;0,K29/K16,0)</f>
        <v>0.1923563169742908</v>
      </c>
      <c r="L30" s="92">
        <f>IF(L16&gt;0,L29/L16,0)</f>
        <v>0.19344316876288414</v>
      </c>
      <c r="M30" s="92">
        <f>IF(M16&gt;0,M29/M16,0)</f>
        <v>0.19428471391197358</v>
      </c>
      <c r="N30" s="92">
        <f>IF(N16&gt;0,N29/N16,0)</f>
        <v>0.19488293706786136</v>
      </c>
      <c r="O30" s="92">
        <f>IF(O16&gt;0,O29/O16,0)</f>
        <v>0.19523364934835</v>
      </c>
      <c r="P30" s="92">
        <f>IF(P16&gt;0,P29/P16,0)</f>
        <v>0.19533874794763478</v>
      </c>
    </row>
    <row r="31" spans="2:16">
      <c r="B31" s="20" t="s">
        <v>484</v>
      </c>
      <c r="C31" s="2" t="s">
        <v>321</v>
      </c>
      <c r="F31" s="72">
        <f>-F157</f>
        <v>-0.0</v>
      </c>
      <c r="G31" s="72">
        <f>-G157</f>
        <v>-8.165208333333334</v>
      </c>
      <c r="H31" s="72">
        <f>-H157</f>
        <v>-8.479704333333334</v>
      </c>
      <c r="I31" s="72">
        <f>-I157</f>
        <v>-8.911531533333335</v>
      </c>
      <c r="J31" s="72">
        <f>-J157</f>
        <v>-9.444965133333334</v>
      </c>
      <c r="K31" s="72">
        <f>-K157</f>
        <v>-9.546573045333334</v>
      </c>
      <c r="L31" s="72">
        <f>-L157</f>
        <v>-10.164456685623334</v>
      </c>
      <c r="M31" s="72">
        <f>-M157</f>
        <v>-12.813221977157323</v>
      </c>
      <c r="N31" s="72">
        <f>-N157</f>
        <v>-13.097098086693922</v>
      </c>
      <c r="O31" s="72">
        <f>-O157</f>
        <v>-8.674565173582685</v>
      </c>
      <c r="P31" s="72">
        <f>-P157</f>
        <v>-5.8961331362633835</v>
      </c>
    </row>
    <row r="32" spans="2:16">
      <c r="B32" s="10" t="s">
        <v>485</v>
      </c>
      <c r="C32" s="79" t="s">
        <v>321</v>
      </c>
      <c r="D32" s="11"/>
      <c r="E32" s="11"/>
      <c r="F32" s="87">
        <f>F29+F31</f>
        <v>-11.0545</v>
      </c>
      <c r="G32" s="87">
        <f>G29+G31</f>
        <v>-11.887255364606068</v>
      </c>
      <c r="H32" s="87">
        <f>H29+H31</f>
        <v>9.222201964121215</v>
      </c>
      <c r="I32" s="87">
        <f>I29+I31</f>
        <v>24.772351378579412</v>
      </c>
      <c r="J32" s="87">
        <f>J29+J31</f>
        <v>27.11071994899215</v>
      </c>
      <c r="K32" s="87">
        <f>K29+K31</f>
        <v>30.071367409617302</v>
      </c>
      <c r="L32" s="87">
        <f>L29+L31</f>
        <v>32.71526955234583</v>
      </c>
      <c r="M32" s="87">
        <f>M29+M31</f>
        <v>33.5368489358996</v>
      </c>
      <c r="N32" s="87">
        <f>N29+N31</f>
        <v>36.94076465092165</v>
      </c>
      <c r="O32" s="87">
        <f>O29+O31</f>
        <v>45.27559916773896</v>
      </c>
      <c r="P32" s="87">
        <f>P29+P31</f>
        <v>52.19898830081118</v>
      </c>
    </row>
    <row r="33" spans="2:16">
      <c r="B33" s="20" t="s">
        <v>486</v>
      </c>
      <c r="C33" s="2" t="s">
        <v>321</v>
      </c>
      <c r="F33" s="72">
        <f>-(F204+F210)</f>
        <v>-0.0</v>
      </c>
      <c r="G33" s="72">
        <f>-(G204+G210)</f>
        <v>-3.652</v>
      </c>
      <c r="H33" s="72">
        <f>-(H204+H210)</f>
        <v>-2.9216</v>
      </c>
      <c r="I33" s="72">
        <f>-(I204+I210)</f>
        <v>-2.1912000000000003</v>
      </c>
      <c r="J33" s="72">
        <f>-(J204+J210)</f>
        <v>-1.4608</v>
      </c>
      <c r="K33" s="72">
        <f>-(K204+K210)</f>
        <v>-0.7304</v>
      </c>
      <c r="L33" s="72">
        <f>-(L204+L210)</f>
        <v>-0.0</v>
      </c>
      <c r="M33" s="72">
        <f>-(M204+M210)</f>
        <v>-0.0</v>
      </c>
      <c r="N33" s="72">
        <f>-(N204+N210)</f>
        <v>-0.0</v>
      </c>
      <c r="O33" s="72">
        <f>-(O204+O210)</f>
        <v>-0.0</v>
      </c>
      <c r="P33" s="72">
        <f>-(P204+P210)</f>
        <v>-0.0</v>
      </c>
    </row>
    <row r="34" spans="2:16">
      <c r="B34" s="20" t="s">
        <v>487</v>
      </c>
      <c r="C34" s="2" t="s">
        <v>321</v>
      </c>
      <c r="F34" s="72">
        <f>F211</f>
        <v>0.0</v>
      </c>
      <c r="G34" s="72">
        <f>G211</f>
        <v>0.7643400000000002</v>
      </c>
      <c r="H34" s="72">
        <f>H211</f>
        <v>0.12317973586889167</v>
      </c>
      <c r="I34" s="72">
        <f>I211</f>
        <v>0.3499776915709451</v>
      </c>
      <c r="J34" s="72">
        <f>J211</f>
        <v>1.1799753999727305</v>
      </c>
      <c r="K34" s="72">
        <f>K211</f>
        <v>1.9446529682683882</v>
      </c>
      <c r="L34" s="72">
        <f>L211</f>
        <v>2.8323472358994315</v>
      </c>
      <c r="M34" s="72">
        <f>M211</f>
        <v>3.6676624226752548</v>
      </c>
      <c r="N34" s="72">
        <f>N211</f>
        <v>5.085909033849281</v>
      </c>
      <c r="O34" s="72">
        <f>O211</f>
        <v>6.641521886529833</v>
      </c>
      <c r="P34" s="72">
        <f>P211</f>
        <v>8.345452013218406</v>
      </c>
    </row>
    <row r="35" spans="2:16">
      <c r="B35" s="10" t="s">
        <v>488</v>
      </c>
      <c r="C35" s="79" t="s">
        <v>321</v>
      </c>
      <c r="D35" s="11"/>
      <c r="E35" s="11"/>
      <c r="F35" s="87">
        <f>F32+F33+F34</f>
        <v>-11.0545</v>
      </c>
      <c r="G35" s="87">
        <f>G32+G33+G34</f>
        <v>-14.774915364606066</v>
      </c>
      <c r="H35" s="87">
        <f>H32+H33+H34</f>
        <v>6.423781699990107</v>
      </c>
      <c r="I35" s="87">
        <f>I32+I33+I34</f>
        <v>22.93112907015036</v>
      </c>
      <c r="J35" s="87">
        <f>J32+J33+J34</f>
        <v>26.82989534896488</v>
      </c>
      <c r="K35" s="87">
        <f>K32+K33+K34</f>
        <v>31.285620377885692</v>
      </c>
      <c r="L35" s="87">
        <f>L32+L33+L34</f>
        <v>35.547616788245264</v>
      </c>
      <c r="M35" s="87">
        <f>M32+M33+M34</f>
        <v>37.204511358574855</v>
      </c>
      <c r="N35" s="87">
        <f>N32+N33+N34</f>
        <v>42.026673684770934</v>
      </c>
      <c r="O35" s="87">
        <f>O32+O33+O34</f>
        <v>51.91712105426879</v>
      </c>
      <c r="P35" s="87">
        <f>P32+P33+P34</f>
        <v>60.544440314029586</v>
      </c>
    </row>
    <row r="36" spans="2:16">
      <c r="B36" s="20" t="s">
        <v>489</v>
      </c>
      <c r="C36" s="2" t="s">
        <v>321</v>
      </c>
      <c r="F36" s="72">
        <f>-F186</f>
        <v>-0.0</v>
      </c>
      <c r="G36" s="72">
        <f>-G186</f>
        <v>-0.0</v>
      </c>
      <c r="H36" s="72">
        <f>-H186</f>
        <v>-0.0</v>
      </c>
      <c r="I36" s="72">
        <f>-I186</f>
        <v>-1.4185690829224977</v>
      </c>
      <c r="J36" s="72">
        <f>-J186</f>
        <v>-7.514540670672014</v>
      </c>
      <c r="K36" s="72">
        <f>-K186</f>
        <v>-8.768532868980754</v>
      </c>
      <c r="L36" s="72">
        <f>-L186</f>
        <v>-9.861359118637342</v>
      </c>
      <c r="M36" s="72">
        <f>-M186</f>
        <v>-10.821242333701973</v>
      </c>
      <c r="N36" s="72">
        <f>-N186</f>
        <v>-12.209300234334217</v>
      </c>
      <c r="O36" s="72">
        <f>-O186</f>
        <v>-13.66381659341591</v>
      </c>
      <c r="P36" s="72">
        <f>-P186</f>
        <v>-15.192589285319842</v>
      </c>
    </row>
    <row r="37" spans="2:16">
      <c r="B37" s="20" t="s">
        <v>490</v>
      </c>
      <c r="C37" s="2" t="s">
        <v>321</v>
      </c>
      <c r="F37" s="72">
        <f>-F174</f>
        <v>-0.0</v>
      </c>
      <c r="G37" s="72">
        <f>-G174</f>
        <v>-0.14955521914666717</v>
      </c>
      <c r="H37" s="72">
        <f>-H174</f>
        <v>0.19209162238933286</v>
      </c>
      <c r="I37" s="72">
        <f>-I174</f>
        <v>0.48873599601493145</v>
      </c>
      <c r="J37" s="72">
        <f>-J174</f>
        <v>0.7619926092445357</v>
      </c>
      <c r="K37" s="72">
        <f>-K174</f>
        <v>0.8945679322744813</v>
      </c>
      <c r="L37" s="72">
        <f>-L174</f>
        <v>0.9147349253717736</v>
      </c>
      <c r="M37" s="72">
        <f>-M174</f>
        <v>1.4576109149758527</v>
      </c>
      <c r="N37" s="72">
        <f>-N174</f>
        <v>1.6320270013510685</v>
      </c>
      <c r="O37" s="72">
        <f>-O174</f>
        <v>0.5973155664775422</v>
      </c>
      <c r="P37" s="72">
        <f>-P174</f>
        <v>-0.04523545291512754</v>
      </c>
    </row>
    <row r="38" spans="2:16">
      <c r="B38" s="10" t="s">
        <v>491</v>
      </c>
      <c r="C38" s="79" t="s">
        <v>321</v>
      </c>
      <c r="D38" s="11"/>
      <c r="E38" s="11"/>
      <c r="F38" s="87">
        <f>F35+F36+F37</f>
        <v>-11.0545</v>
      </c>
      <c r="G38" s="87">
        <f>G35+G36+G37</f>
        <v>-14.924470583752733</v>
      </c>
      <c r="H38" s="87">
        <f>H35+H36+H37</f>
        <v>6.615873322379439</v>
      </c>
      <c r="I38" s="87">
        <f>I35+I36+I37</f>
        <v>22.00129598324279</v>
      </c>
      <c r="J38" s="87">
        <f>J35+J36+J37</f>
        <v>20.0773472875374</v>
      </c>
      <c r="K38" s="87">
        <f>K35+K36+K37</f>
        <v>23.411655441179416</v>
      </c>
      <c r="L38" s="87">
        <f>L35+L36+L37</f>
        <v>26.600992594979697</v>
      </c>
      <c r="M38" s="87">
        <f>M35+M36+M37</f>
        <v>27.840879939848733</v>
      </c>
      <c r="N38" s="87">
        <f>N35+N36+N37</f>
        <v>31.44940045178779</v>
      </c>
      <c r="O38" s="87">
        <f>O35+O36+O37</f>
        <v>38.85062002733042</v>
      </c>
      <c r="P38" s="87">
        <f>P35+P36+P37</f>
        <v>45.306615575794616</v>
      </c>
    </row>
    <row r="39" spans="2:16">
      <c r="B39" s="90" t="s">
        <v>492</v>
      </c>
      <c r="C39" s="2" t="s">
        <v>102</v>
      </c>
      <c r="F39" s="92">
        <f>IF(F16&gt;0,F38/F16,0)</f>
        <v>0.0</v>
      </c>
      <c r="G39" s="92">
        <f>IF(G16&gt;0,G38/G16,0)</f>
        <v>-0.14236560004342885</v>
      </c>
      <c r="H39" s="92">
        <f>IF(H16&gt;0,H38/H16,0)</f>
        <v>0.04596194951855353</v>
      </c>
      <c r="I39" s="92">
        <f>IF(I16&gt;0,I38/I16,0)</f>
        <v>0.12373402790849389</v>
      </c>
      <c r="J39" s="92">
        <f>IF(J16&gt;0,J38/J16,0)</f>
        <v>0.10491414698115534</v>
      </c>
      <c r="K39" s="92">
        <f>IF(K16&gt;0,K38/K16,0)</f>
        <v>0.11367021514046544</v>
      </c>
      <c r="L39" s="92">
        <f>IF(L16&gt;0,L38/L16,0)</f>
        <v>0.12000497090987489</v>
      </c>
      <c r="M39" s="92">
        <f>IF(M16&gt;0,M38/M16,0)</f>
        <v>0.1167000888589228</v>
      </c>
      <c r="N39" s="92">
        <f>IF(N16&gt;0,N38/N16,0)</f>
        <v>0.12248627726580213</v>
      </c>
      <c r="O39" s="92">
        <f>IF(O16&gt;0,O38/O16,0)</f>
        <v>0.14059175574322264</v>
      </c>
      <c r="P39" s="92">
        <f>IF(P16&gt;0,P38/P16,0)</f>
        <v>0.15233873931921307</v>
      </c>
    </row>
    <row r="41" spans="2:16" ht="18" customHeight="1">
      <c r="B41" s="4" t="s">
        <v>493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2:16">
      <c r="B42" s="20" t="s">
        <v>491</v>
      </c>
      <c r="C42" s="2" t="s">
        <v>321</v>
      </c>
      <c r="F42" s="72">
        <f>F38</f>
        <v>-11.0545</v>
      </c>
      <c r="G42" s="72">
        <f>G38</f>
        <v>-14.924470583752733</v>
      </c>
      <c r="H42" s="72">
        <f>H38</f>
        <v>6.615873322379439</v>
      </c>
      <c r="I42" s="72">
        <f>I38</f>
        <v>22.00129598324279</v>
      </c>
      <c r="J42" s="72">
        <f>J38</f>
        <v>20.0773472875374</v>
      </c>
      <c r="K42" s="72">
        <f>K38</f>
        <v>23.411655441179416</v>
      </c>
      <c r="L42" s="72">
        <f>L38</f>
        <v>26.600992594979697</v>
      </c>
      <c r="M42" s="72">
        <f>M38</f>
        <v>27.840879939848733</v>
      </c>
      <c r="N42" s="72">
        <f>N38</f>
        <v>31.44940045178779</v>
      </c>
      <c r="O42" s="72">
        <f>O38</f>
        <v>38.85062002733042</v>
      </c>
      <c r="P42" s="72">
        <f>P38</f>
        <v>45.306615575794616</v>
      </c>
    </row>
    <row r="43" spans="2:16">
      <c r="B43" s="20" t="s">
        <v>494</v>
      </c>
      <c r="C43" s="2" t="s">
        <v>321</v>
      </c>
      <c r="F43" s="72">
        <f>F157</f>
        <v>0.0</v>
      </c>
      <c r="G43" s="72">
        <f>G157</f>
        <v>8.165208333333334</v>
      </c>
      <c r="H43" s="72">
        <f>H157</f>
        <v>8.479704333333334</v>
      </c>
      <c r="I43" s="72">
        <f>I157</f>
        <v>8.911531533333335</v>
      </c>
      <c r="J43" s="72">
        <f>J157</f>
        <v>9.444965133333334</v>
      </c>
      <c r="K43" s="72">
        <f>K157</f>
        <v>9.546573045333334</v>
      </c>
      <c r="L43" s="72">
        <f>L157</f>
        <v>10.164456685623334</v>
      </c>
      <c r="M43" s="72">
        <f>M157</f>
        <v>12.813221977157323</v>
      </c>
      <c r="N43" s="72">
        <f>N157</f>
        <v>13.097098086693922</v>
      </c>
      <c r="O43" s="72">
        <f>O157</f>
        <v>8.674565173582685</v>
      </c>
      <c r="P43" s="72">
        <f>P157</f>
        <v>5.8961331362633835</v>
      </c>
    </row>
    <row r="44" spans="2:16">
      <c r="B44" s="20" t="s">
        <v>495</v>
      </c>
      <c r="C44" s="2" t="s">
        <v>321</v>
      </c>
      <c r="F44" s="72">
        <f>F174</f>
        <v>0.0</v>
      </c>
      <c r="G44" s="72">
        <f>G174</f>
        <v>0.14955521914666717</v>
      </c>
      <c r="H44" s="72">
        <f>H174</f>
        <v>-0.19209162238933286</v>
      </c>
      <c r="I44" s="72">
        <f>I174</f>
        <v>-0.48873599601493145</v>
      </c>
      <c r="J44" s="72">
        <f>J174</f>
        <v>-0.7619926092445357</v>
      </c>
      <c r="K44" s="72">
        <f>K174</f>
        <v>-0.8945679322744813</v>
      </c>
      <c r="L44" s="72">
        <f>L174</f>
        <v>-0.9147349253717736</v>
      </c>
      <c r="M44" s="72">
        <f>M174</f>
        <v>-1.4576109149758527</v>
      </c>
      <c r="N44" s="72">
        <f>N174</f>
        <v>-1.6320270013510685</v>
      </c>
      <c r="O44" s="72">
        <f>O174</f>
        <v>-0.5973155664775422</v>
      </c>
      <c r="P44" s="72">
        <f>P174</f>
        <v>0.04523545291512754</v>
      </c>
    </row>
    <row r="45" spans="2:16">
      <c r="B45" s="20" t="s">
        <v>496</v>
      </c>
      <c r="C45" s="2" t="s">
        <v>321</v>
      </c>
      <c r="F45" s="72">
        <f>-F194</f>
        <v>-0.0</v>
      </c>
      <c r="G45" s="72">
        <f>-G194</f>
        <v>-1.2068195720049812</v>
      </c>
      <c r="H45" s="72">
        <f>-H194</f>
        <v>-0.43440114077210445</v>
      </c>
      <c r="I45" s="72">
        <f>-I194</f>
        <v>-0.3669808105165637</v>
      </c>
      <c r="J45" s="72">
        <f>-J194</f>
        <v>-0.13284104423474474</v>
      </c>
      <c r="K45" s="72">
        <f>-K194</f>
        <v>-0.14188566201218444</v>
      </c>
      <c r="L45" s="72">
        <f>-L194</f>
        <v>-0.15152822816573108</v>
      </c>
      <c r="M45" s="72">
        <f>-M194</f>
        <v>-0.16180917499654113</v>
      </c>
      <c r="N45" s="72">
        <f>-N194</f>
        <v>-0.17277178567302887</v>
      </c>
      <c r="O45" s="72">
        <f>-O194</f>
        <v>-0.1845704271510411</v>
      </c>
      <c r="P45" s="72">
        <f>-P194</f>
        <v>-0.19715480167379473</v>
      </c>
    </row>
    <row r="46" spans="2:16">
      <c r="B46" s="10" t="s">
        <v>497</v>
      </c>
      <c r="C46" s="79" t="s">
        <v>321</v>
      </c>
      <c r="D46" s="11"/>
      <c r="E46" s="11"/>
      <c r="F46" s="87">
        <f>SUM(F42:F45)</f>
        <v>-11.0545</v>
      </c>
      <c r="G46" s="87">
        <f>SUM(G42:G45)</f>
        <v>-7.816526603277713</v>
      </c>
      <c r="H46" s="87">
        <f>SUM(H42:H45)</f>
        <v>14.469084892551336</v>
      </c>
      <c r="I46" s="87">
        <f>SUM(I42:I45)</f>
        <v>30.057110710044633</v>
      </c>
      <c r="J46" s="87">
        <f>SUM(J42:J45)</f>
        <v>28.62747876739145</v>
      </c>
      <c r="K46" s="87">
        <f>SUM(K42:K45)</f>
        <v>31.921774892226082</v>
      </c>
      <c r="L46" s="87">
        <f>SUM(L42:L45)</f>
        <v>35.69918612706552</v>
      </c>
      <c r="M46" s="87">
        <f>SUM(M42:M45)</f>
        <v>39.03468182703366</v>
      </c>
      <c r="N46" s="87">
        <f>SUM(N42:N45)</f>
        <v>42.74169975145762</v>
      </c>
      <c r="O46" s="87">
        <f>SUM(O42:O45)</f>
        <v>46.74329920728452</v>
      </c>
      <c r="P46" s="87">
        <f>SUM(P42:P45)</f>
        <v>51.05082936329933</v>
      </c>
    </row>
    <row r="47" spans="2:16">
      <c r="B47" s="20" t="s">
        <v>498</v>
      </c>
      <c r="C47" s="2" t="s">
        <v>321</v>
      </c>
      <c r="F47" s="72">
        <f>-F148</f>
        <v>-66.465</v>
      </c>
      <c r="G47" s="72">
        <f>-G148</f>
        <v>-1.5724799999999999</v>
      </c>
      <c r="H47" s="72">
        <f>-H148</f>
        <v>-2.1591359999999997</v>
      </c>
      <c r="I47" s="72">
        <f>-I148</f>
        <v>-2.667168</v>
      </c>
      <c r="J47" s="72">
        <f>-J148</f>
        <v>-2.87053956</v>
      </c>
      <c r="K47" s="72">
        <f>-K148</f>
        <v>-3.0894182014499996</v>
      </c>
      <c r="L47" s="72">
        <f>-L148</f>
        <v>-14.816306457669942</v>
      </c>
      <c r="M47" s="72">
        <f>-M148</f>
        <v>-3.578516547682993</v>
      </c>
      <c r="N47" s="72">
        <f>-N148</f>
        <v>-3.8513784344438213</v>
      </c>
      <c r="O47" s="72">
        <f>-O148</f>
        <v>-4.145046040070161</v>
      </c>
      <c r="P47" s="72">
        <f>-P148</f>
        <v>-4.4611058006255115</v>
      </c>
    </row>
    <row r="48" spans="2:16">
      <c r="B48" s="20" t="s">
        <v>499</v>
      </c>
      <c r="C48" s="2" t="s">
        <v>321</v>
      </c>
      <c r="F48" s="72">
        <f>-F195</f>
        <v>-4.6</v>
      </c>
      <c r="G48" s="72">
        <f>-G195</f>
        <v>-0.0</v>
      </c>
      <c r="H48" s="72">
        <f>-H195</f>
        <v>-0.0</v>
      </c>
      <c r="I48" s="72">
        <f>-I195</f>
        <v>-0.0</v>
      </c>
      <c r="J48" s="72">
        <f>-J195</f>
        <v>-0.0</v>
      </c>
      <c r="K48" s="72">
        <f>-K195</f>
        <v>-0.0</v>
      </c>
      <c r="L48" s="72">
        <f>-L195</f>
        <v>-0.0</v>
      </c>
      <c r="M48" s="72">
        <f>-M195</f>
        <v>-0.0</v>
      </c>
      <c r="N48" s="72">
        <f>-N195</f>
        <v>-0.0</v>
      </c>
      <c r="O48" s="72">
        <f>-O195</f>
        <v>-0.0</v>
      </c>
      <c r="P48" s="72">
        <f>-P195</f>
        <v>-0.0</v>
      </c>
    </row>
    <row r="49" spans="2:16">
      <c r="B49" s="10" t="s">
        <v>500</v>
      </c>
      <c r="C49" s="79" t="s">
        <v>321</v>
      </c>
      <c r="D49" s="11"/>
      <c r="E49" s="11"/>
      <c r="F49" s="87">
        <f>F47+F48</f>
        <v>-71.065</v>
      </c>
      <c r="G49" s="87">
        <f>G47+G48</f>
        <v>-1.5724799999999999</v>
      </c>
      <c r="H49" s="87">
        <f>H47+H48</f>
        <v>-2.1591359999999997</v>
      </c>
      <c r="I49" s="87">
        <f>I47+I48</f>
        <v>-2.667168</v>
      </c>
      <c r="J49" s="87">
        <f>J47+J48</f>
        <v>-2.87053956</v>
      </c>
      <c r="K49" s="87">
        <f>K47+K48</f>
        <v>-3.0894182014499996</v>
      </c>
      <c r="L49" s="87">
        <f>L47+L48</f>
        <v>-14.816306457669942</v>
      </c>
      <c r="M49" s="87">
        <f>M47+M48</f>
        <v>-3.578516547682993</v>
      </c>
      <c r="N49" s="87">
        <f>N47+N48</f>
        <v>-3.8513784344438213</v>
      </c>
      <c r="O49" s="87">
        <f>O47+O48</f>
        <v>-4.145046040070161</v>
      </c>
      <c r="P49" s="87">
        <f>P47+P48</f>
        <v>-4.4611058006255115</v>
      </c>
    </row>
    <row r="50" spans="2:16">
      <c r="B50" s="20" t="s">
        <v>501</v>
      </c>
      <c r="C50" s="2" t="s">
        <v>321</v>
      </c>
      <c r="F50" s="72">
        <f>F201</f>
        <v>33.2</v>
      </c>
      <c r="G50" s="72">
        <f>G201</f>
        <v>0.0</v>
      </c>
      <c r="H50" s="72">
        <f>H201</f>
        <v>0.0</v>
      </c>
      <c r="I50" s="72">
        <f>I201</f>
        <v>0.0</v>
      </c>
      <c r="J50" s="72">
        <f>J201</f>
        <v>0.0</v>
      </c>
      <c r="K50" s="72">
        <f>K201</f>
        <v>0.0</v>
      </c>
      <c r="L50" s="72">
        <f>L201</f>
        <v>0.0</v>
      </c>
      <c r="M50" s="72">
        <f>M201</f>
        <v>0.0</v>
      </c>
      <c r="N50" s="72">
        <f>N201</f>
        <v>0.0</v>
      </c>
      <c r="O50" s="72">
        <f>O201</f>
        <v>0.0</v>
      </c>
      <c r="P50" s="72">
        <f>P201</f>
        <v>0.0</v>
      </c>
    </row>
    <row r="51" spans="2:16">
      <c r="B51" s="20" t="s">
        <v>502</v>
      </c>
      <c r="C51" s="2" t="s">
        <v>321</v>
      </c>
      <c r="F51" s="72">
        <f>-F202</f>
        <v>-0.0</v>
      </c>
      <c r="G51" s="72">
        <f>-G202</f>
        <v>-6.640000000000001</v>
      </c>
      <c r="H51" s="72">
        <f>-H202</f>
        <v>-6.640000000000001</v>
      </c>
      <c r="I51" s="72">
        <f>-I202</f>
        <v>-6.640000000000001</v>
      </c>
      <c r="J51" s="72">
        <f>-J202</f>
        <v>-6.640000000000001</v>
      </c>
      <c r="K51" s="72">
        <f>-K202</f>
        <v>-6.640000000000001</v>
      </c>
      <c r="L51" s="72">
        <f>-L202</f>
        <v>-0.0</v>
      </c>
      <c r="M51" s="72">
        <f>-M202</f>
        <v>-0.0</v>
      </c>
      <c r="N51" s="72">
        <f>-N202</f>
        <v>-0.0</v>
      </c>
      <c r="O51" s="72">
        <f>-O202</f>
        <v>-0.0</v>
      </c>
      <c r="P51" s="72">
        <f>-P202</f>
        <v>-0.0</v>
      </c>
    </row>
    <row r="52" spans="2:16">
      <c r="B52" s="20" t="s">
        <v>503</v>
      </c>
      <c r="C52" s="2" t="s">
        <v>321</v>
      </c>
      <c r="F52" s="72">
        <f>F208</f>
        <v>-0.0</v>
      </c>
      <c r="G52" s="72">
        <f>G208</f>
        <v>-0.0</v>
      </c>
      <c r="H52" s="72">
        <f>H208</f>
        <v>-0.0</v>
      </c>
      <c r="I52" s="72">
        <f>I208</f>
        <v>-0.0</v>
      </c>
      <c r="J52" s="72">
        <f>J208</f>
        <v>-0.0</v>
      </c>
      <c r="K52" s="72">
        <f>K208</f>
        <v>-0.0</v>
      </c>
      <c r="L52" s="72">
        <f>L208</f>
        <v>-0.0</v>
      </c>
      <c r="M52" s="72">
        <f>M208</f>
        <v>-0.0</v>
      </c>
      <c r="N52" s="72">
        <f>N208</f>
        <v>-0.0</v>
      </c>
      <c r="O52" s="72">
        <f>O208</f>
        <v>-0.0</v>
      </c>
      <c r="P52" s="72">
        <f>P208</f>
        <v>-0.0</v>
      </c>
    </row>
    <row r="53" spans="2:16">
      <c r="B53" s="20" t="s">
        <v>504</v>
      </c>
      <c r="C53" s="2" t="s">
        <v>321</v>
      </c>
      <c r="F53" s="72">
        <f>F216</f>
        <v>68.028</v>
      </c>
      <c r="G53" s="72">
        <f>G216</f>
        <v>0.0</v>
      </c>
      <c r="H53" s="72">
        <f>H216</f>
        <v>0.0</v>
      </c>
      <c r="I53" s="72">
        <f>I216</f>
        <v>0.0</v>
      </c>
      <c r="J53" s="72">
        <f>J216</f>
        <v>0.0</v>
      </c>
      <c r="K53" s="72">
        <f>K216</f>
        <v>0.0</v>
      </c>
      <c r="L53" s="72">
        <f>L216</f>
        <v>0.0</v>
      </c>
      <c r="M53" s="72">
        <f>M216</f>
        <v>0.0</v>
      </c>
      <c r="N53" s="72">
        <f>N216</f>
        <v>0.0</v>
      </c>
      <c r="O53" s="72">
        <f>O216</f>
        <v>0.0</v>
      </c>
      <c r="P53" s="72">
        <f>P216</f>
        <v>0.0</v>
      </c>
    </row>
    <row r="54" spans="2:16">
      <c r="B54" s="20" t="s">
        <v>505</v>
      </c>
      <c r="C54" s="2" t="s">
        <v>321</v>
      </c>
      <c r="F54" s="72">
        <f>-F220</f>
        <v>-0.0</v>
      </c>
      <c r="G54" s="72">
        <f>-G220</f>
        <v>-0.0</v>
      </c>
      <c r="H54" s="72">
        <f>-H220</f>
        <v>-0.0</v>
      </c>
      <c r="I54" s="72">
        <f>-I220</f>
        <v>-0.0</v>
      </c>
      <c r="J54" s="72">
        <f>-J220</f>
        <v>-0.0</v>
      </c>
      <c r="K54" s="72">
        <f>-K220</f>
        <v>-0.0</v>
      </c>
      <c r="L54" s="72">
        <f>-L220</f>
        <v>-0.0</v>
      </c>
      <c r="M54" s="72">
        <f>-M220</f>
        <v>-0.0</v>
      </c>
      <c r="N54" s="72">
        <f>-N220</f>
        <v>-0.0</v>
      </c>
      <c r="O54" s="72">
        <f>-O220</f>
        <v>-0.0</v>
      </c>
      <c r="P54" s="72">
        <f>-P220</f>
        <v>-0.0</v>
      </c>
    </row>
    <row r="55" spans="2:16">
      <c r="B55" s="10" t="s">
        <v>506</v>
      </c>
      <c r="C55" s="79" t="s">
        <v>321</v>
      </c>
      <c r="D55" s="11"/>
      <c r="E55" s="11"/>
      <c r="F55" s="87">
        <f>SUM(F50:F54)</f>
        <v>101.22800000000001</v>
      </c>
      <c r="G55" s="87">
        <f>SUM(G50:G54)</f>
        <v>-6.640000000000001</v>
      </c>
      <c r="H55" s="87">
        <f>SUM(H50:H54)</f>
        <v>-6.640000000000001</v>
      </c>
      <c r="I55" s="87">
        <f>SUM(I50:I54)</f>
        <v>-6.640000000000001</v>
      </c>
      <c r="J55" s="87">
        <f>SUM(J50:J54)</f>
        <v>-6.640000000000001</v>
      </c>
      <c r="K55" s="87">
        <f>SUM(K50:K54)</f>
        <v>-6.640000000000001</v>
      </c>
      <c r="L55" s="87">
        <f>SUM(L50:L54)</f>
        <v>0.0</v>
      </c>
      <c r="M55" s="87">
        <f>SUM(M50:M54)</f>
        <v>0.0</v>
      </c>
      <c r="N55" s="87">
        <f>SUM(N50:N54)</f>
        <v>0.0</v>
      </c>
      <c r="O55" s="87">
        <f>SUM(O50:O54)</f>
        <v>0.0</v>
      </c>
      <c r="P55" s="87">
        <f>SUM(P50:P54)</f>
        <v>0.0</v>
      </c>
    </row>
    <row r="56" spans="2:16">
      <c r="B56" s="16" t="s">
        <v>507</v>
      </c>
      <c r="C56" s="2" t="s">
        <v>321</v>
      </c>
      <c r="F56" s="88">
        <f>F46+F49+F55</f>
        <v>19.108500000000006</v>
      </c>
      <c r="G56" s="88">
        <f>G46+G49+G55</f>
        <v>-16.029006603277715</v>
      </c>
      <c r="H56" s="88">
        <f>H46+H49+H55</f>
        <v>5.669948892551336</v>
      </c>
      <c r="I56" s="88">
        <f>I46+I49+I55</f>
        <v>20.749942710044632</v>
      </c>
      <c r="J56" s="88">
        <f>J46+J49+J55</f>
        <v>19.11693920739145</v>
      </c>
      <c r="K56" s="88">
        <f>K46+K49+K55</f>
        <v>22.192356690776084</v>
      </c>
      <c r="L56" s="88">
        <f>L46+L49+L55</f>
        <v>20.88287966939558</v>
      </c>
      <c r="M56" s="88">
        <f>M46+M49+M55</f>
        <v>35.456165279350664</v>
      </c>
      <c r="N56" s="88">
        <f>N46+N49+N55</f>
        <v>38.89032131701379</v>
      </c>
      <c r="O56" s="88">
        <f>O46+O49+O55</f>
        <v>42.59825316721436</v>
      </c>
      <c r="P56" s="88">
        <f>P46+P49+P55</f>
        <v>46.58972356267382</v>
      </c>
    </row>
    <row r="57" spans="2:16">
      <c r="B57" s="20" t="s">
        <v>508</v>
      </c>
      <c r="C57" s="2" t="s">
        <v>321</v>
      </c>
      <c r="F57" s="93"/>
      <c r="G57" s="72">
        <f>F58</f>
        <v>19.108500000000006</v>
      </c>
      <c r="H57" s="72">
        <f>G58</f>
        <v>3.0794933967222917</v>
      </c>
      <c r="I57" s="72">
        <f>H58</f>
        <v>8.749442289273627</v>
      </c>
      <c r="J57" s="72">
        <f>I58</f>
        <v>29.49938499931826</v>
      </c>
      <c r="K57" s="72">
        <f>J58</f>
        <v>48.616324206709706</v>
      </c>
      <c r="L57" s="72">
        <f>K58</f>
        <v>70.80868089748579</v>
      </c>
      <c r="M57" s="72">
        <f>L58</f>
        <v>91.69156056688136</v>
      </c>
      <c r="N57" s="72">
        <f>M58</f>
        <v>127.14772584623202</v>
      </c>
      <c r="O57" s="72">
        <f>N58</f>
        <v>166.0380471632458</v>
      </c>
      <c r="P57" s="72">
        <f>O58</f>
        <v>208.63630033046016</v>
      </c>
    </row>
    <row r="58" spans="2:16">
      <c r="B58" s="10" t="s">
        <v>509</v>
      </c>
      <c r="C58" s="79" t="s">
        <v>321</v>
      </c>
      <c r="D58" s="11"/>
      <c r="E58" s="11"/>
      <c r="F58" s="87">
        <f>F57+F56</f>
        <v>19.108500000000006</v>
      </c>
      <c r="G58" s="87">
        <f>G57+G56</f>
        <v>3.0794933967222917</v>
      </c>
      <c r="H58" s="87">
        <f>H57+H56</f>
        <v>8.749442289273627</v>
      </c>
      <c r="I58" s="87">
        <f>I57+I56</f>
        <v>29.49938499931826</v>
      </c>
      <c r="J58" s="87">
        <f>J57+J56</f>
        <v>48.616324206709706</v>
      </c>
      <c r="K58" s="87">
        <f>K57+K56</f>
        <v>70.80868089748579</v>
      </c>
      <c r="L58" s="87">
        <f>L57+L56</f>
        <v>91.69156056688136</v>
      </c>
      <c r="M58" s="87">
        <f>M57+M56</f>
        <v>127.14772584623202</v>
      </c>
      <c r="N58" s="87">
        <f>N57+N56</f>
        <v>166.0380471632458</v>
      </c>
      <c r="O58" s="87">
        <f>O57+O56</f>
        <v>208.63630033046016</v>
      </c>
      <c r="P58" s="87">
        <f>P57+P56</f>
        <v>255.22602389313397</v>
      </c>
    </row>
    <row r="60" spans="2:16" ht="18" customHeight="1">
      <c r="B60" s="4" t="s">
        <v>510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2:16">
      <c r="B61" s="20" t="s">
        <v>511</v>
      </c>
      <c r="C61" s="2" t="s">
        <v>321</v>
      </c>
      <c r="F61" s="72">
        <f>F58</f>
        <v>19.108500000000006</v>
      </c>
      <c r="G61" s="72">
        <f>G58</f>
        <v>3.0794933967222917</v>
      </c>
      <c r="H61" s="72">
        <f>H58</f>
        <v>8.749442289273627</v>
      </c>
      <c r="I61" s="72">
        <f>I58</f>
        <v>29.49938499931826</v>
      </c>
      <c r="J61" s="72">
        <f>J58</f>
        <v>48.616324206709706</v>
      </c>
      <c r="K61" s="72">
        <f>K58</f>
        <v>70.80868089748579</v>
      </c>
      <c r="L61" s="72">
        <f>L58</f>
        <v>91.69156056688136</v>
      </c>
      <c r="M61" s="72">
        <f>M58</f>
        <v>127.14772584623202</v>
      </c>
      <c r="N61" s="72">
        <f>N58</f>
        <v>166.0380471632458</v>
      </c>
      <c r="O61" s="72">
        <f>O58</f>
        <v>208.63630033046016</v>
      </c>
      <c r="P61" s="72">
        <f>P58</f>
        <v>255.22602389313397</v>
      </c>
    </row>
    <row r="62" spans="2:16">
      <c r="B62" s="20" t="s">
        <v>512</v>
      </c>
      <c r="C62" s="2" t="s">
        <v>321</v>
      </c>
      <c r="F62" s="72">
        <f>F190</f>
        <v>0.0</v>
      </c>
      <c r="G62" s="72">
        <f>G190</f>
        <v>0.30157150684931505</v>
      </c>
      <c r="H62" s="72">
        <f>H190</f>
        <v>0.4140808767123287</v>
      </c>
      <c r="I62" s="72">
        <f>I190</f>
        <v>0.5115116712328768</v>
      </c>
      <c r="J62" s="72">
        <f>J190</f>
        <v>0.5505144361643837</v>
      </c>
      <c r="K62" s="72">
        <f>K190</f>
        <v>0.5924911619219178</v>
      </c>
      <c r="L62" s="72">
        <f>L190</f>
        <v>0.6376686130184641</v>
      </c>
      <c r="M62" s="72">
        <f>M190</f>
        <v>0.6862908447611219</v>
      </c>
      <c r="N62" s="72">
        <f>N190</f>
        <v>0.7386205216741576</v>
      </c>
      <c r="O62" s="72">
        <f>O190</f>
        <v>0.7949403364518118</v>
      </c>
      <c r="P62" s="72">
        <f>P190</f>
        <v>0.8555545371062626</v>
      </c>
    </row>
    <row r="63" spans="2:16">
      <c r="B63" s="20" t="s">
        <v>513</v>
      </c>
      <c r="C63" s="2" t="s">
        <v>321</v>
      </c>
      <c r="F63" s="72">
        <f>F191</f>
        <v>0.0</v>
      </c>
      <c r="G63" s="72">
        <f>G191</f>
        <v>2.208098611646326</v>
      </c>
      <c r="H63" s="72">
        <f>H191</f>
        <v>3.0065526205529265</v>
      </c>
      <c r="I63" s="72">
        <f>I191</f>
        <v>3.683274736228743</v>
      </c>
      <c r="J63" s="72">
        <f>J191</f>
        <v>3.931669519799952</v>
      </c>
      <c r="K63" s="72">
        <f>K191</f>
        <v>4.197269186665729</v>
      </c>
      <c r="L63" s="72">
        <f>L191</f>
        <v>4.48123888321021</v>
      </c>
      <c r="M63" s="72">
        <f>M191</f>
        <v>4.784824340209284</v>
      </c>
      <c r="N63" s="72">
        <f>N191</f>
        <v>5.10935764603734</v>
      </c>
      <c r="O63" s="72">
        <f>O191</f>
        <v>5.456436284947497</v>
      </c>
      <c r="P63" s="72">
        <f>P191</f>
        <v>5.827597077198531</v>
      </c>
    </row>
    <row r="64" spans="2:16">
      <c r="B64" s="20" t="s">
        <v>514</v>
      </c>
      <c r="C64" s="2" t="s">
        <v>321</v>
      </c>
      <c r="F64" s="72">
        <f>F196</f>
        <v>4.6</v>
      </c>
      <c r="G64" s="72">
        <f>G196</f>
        <v>4.6</v>
      </c>
      <c r="H64" s="72">
        <f>H196</f>
        <v>4.6</v>
      </c>
      <c r="I64" s="72">
        <f>I196</f>
        <v>4.6</v>
      </c>
      <c r="J64" s="72">
        <f>J196</f>
        <v>4.6</v>
      </c>
      <c r="K64" s="72">
        <f>K196</f>
        <v>4.6</v>
      </c>
      <c r="L64" s="72">
        <f>L196</f>
        <v>4.6</v>
      </c>
      <c r="M64" s="72">
        <f>M196</f>
        <v>4.6</v>
      </c>
      <c r="N64" s="72">
        <f>N196</f>
        <v>4.6</v>
      </c>
      <c r="O64" s="72">
        <f>O196</f>
        <v>4.6</v>
      </c>
      <c r="P64" s="72">
        <f>P196</f>
        <v>4.6</v>
      </c>
    </row>
    <row r="65" spans="2:16">
      <c r="B65" s="20" t="s">
        <v>515</v>
      </c>
      <c r="C65" s="2" t="s">
        <v>321</v>
      </c>
      <c r="F65" s="72">
        <f>F159</f>
        <v>66.465</v>
      </c>
      <c r="G65" s="72">
        <f>G159</f>
        <v>59.87227166666667</v>
      </c>
      <c r="H65" s="72">
        <f>H159</f>
        <v>53.551703333333336</v>
      </c>
      <c r="I65" s="72">
        <f>I159</f>
        <v>47.30733980000001</v>
      </c>
      <c r="J65" s="72">
        <f>J159</f>
        <v>40.73291422666667</v>
      </c>
      <c r="K65" s="72">
        <f>K159</f>
        <v>34.27575938278334</v>
      </c>
      <c r="L65" s="72">
        <f>L159</f>
        <v>38.92760915482995</v>
      </c>
      <c r="M65" s="72">
        <f>M159</f>
        <v>29.692903725355624</v>
      </c>
      <c r="N65" s="72">
        <f>N159</f>
        <v>20.44718407310552</v>
      </c>
      <c r="O65" s="72">
        <f>O159</f>
        <v>15.917664939592996</v>
      </c>
      <c r="P65" s="72">
        <f>P159</f>
        <v>14.482637603955123</v>
      </c>
    </row>
    <row r="66" spans="2:16">
      <c r="B66" s="10" t="s">
        <v>516</v>
      </c>
      <c r="C66" s="79" t="s">
        <v>321</v>
      </c>
      <c r="D66" s="11"/>
      <c r="E66" s="11"/>
      <c r="F66" s="87">
        <f>SUM(F61:F65)</f>
        <v>90.17350000000002</v>
      </c>
      <c r="G66" s="87">
        <f>SUM(G61:G65)</f>
        <v>70.0614351818846</v>
      </c>
      <c r="H66" s="87">
        <f>SUM(H61:H65)</f>
        <v>70.32177911987222</v>
      </c>
      <c r="I66" s="87">
        <f>SUM(I61:I65)</f>
        <v>85.60151120677989</v>
      </c>
      <c r="J66" s="87">
        <f>SUM(J61:J65)</f>
        <v>98.43142238934071</v>
      </c>
      <c r="K66" s="87">
        <f>SUM(K61:K65)</f>
        <v>114.47420062885678</v>
      </c>
      <c r="L66" s="87">
        <f>SUM(L61:L65)</f>
        <v>140.33807721794</v>
      </c>
      <c r="M66" s="87">
        <f>SUM(M61:M65)</f>
        <v>166.91174475655805</v>
      </c>
      <c r="N66" s="87">
        <f>SUM(N61:N65)</f>
        <v>196.93320940406284</v>
      </c>
      <c r="O66" s="87">
        <f>SUM(O61:O65)</f>
        <v>235.40534189145245</v>
      </c>
      <c r="P66" s="87">
        <f>SUM(P61:P65)</f>
        <v>280.9918131113939</v>
      </c>
    </row>
    <row r="67" spans="2:16">
      <c r="B67" s="20" t="s">
        <v>517</v>
      </c>
      <c r="C67" s="2" t="s">
        <v>321</v>
      </c>
      <c r="F67" s="72">
        <f>F192</f>
        <v>0.0</v>
      </c>
      <c r="G67" s="72">
        <f>G192</f>
        <v>1.30285054649066</v>
      </c>
      <c r="H67" s="72">
        <f>H192</f>
        <v>1.7794127844881695</v>
      </c>
      <c r="I67" s="72">
        <f>I192</f>
        <v>2.1865848841679703</v>
      </c>
      <c r="J67" s="72">
        <f>J192</f>
        <v>2.341141388435941</v>
      </c>
      <c r="K67" s="72">
        <f>K192</f>
        <v>2.5068321190470675</v>
      </c>
      <c r="L67" s="72">
        <f>L192</f>
        <v>2.6844510385223646</v>
      </c>
      <c r="M67" s="72">
        <f>M192</f>
        <v>2.8748495522675555</v>
      </c>
      <c r="N67" s="72">
        <f>N192</f>
        <v>3.078940749335618</v>
      </c>
      <c r="O67" s="72">
        <f>O192</f>
        <v>3.2977687758723877</v>
      </c>
      <c r="P67" s="72">
        <f>P192</f>
        <v>3.532388967104078</v>
      </c>
    </row>
    <row r="68" spans="2:16">
      <c r="B68" s="20" t="s">
        <v>518</v>
      </c>
      <c r="C68" s="2" t="s">
        <v>321</v>
      </c>
      <c r="F68" s="72">
        <f>F209</f>
        <v>0.0</v>
      </c>
      <c r="G68" s="72">
        <f>G209</f>
        <v>0.0</v>
      </c>
      <c r="H68" s="72">
        <f>H209</f>
        <v>0.0</v>
      </c>
      <c r="I68" s="72">
        <f>I209</f>
        <v>0.0</v>
      </c>
      <c r="J68" s="72">
        <f>J209</f>
        <v>0.0</v>
      </c>
      <c r="K68" s="72">
        <f>K209</f>
        <v>0.0</v>
      </c>
      <c r="L68" s="72">
        <f>L209</f>
        <v>0.0</v>
      </c>
      <c r="M68" s="72">
        <f>M209</f>
        <v>0.0</v>
      </c>
      <c r="N68" s="72">
        <f>N209</f>
        <v>0.0</v>
      </c>
      <c r="O68" s="72">
        <f>O209</f>
        <v>0.0</v>
      </c>
      <c r="P68" s="72">
        <f>P209</f>
        <v>0.0</v>
      </c>
    </row>
    <row r="69" spans="2:16">
      <c r="B69" s="20" t="s">
        <v>453</v>
      </c>
      <c r="C69" s="2" t="s">
        <v>321</v>
      </c>
      <c r="F69" s="72">
        <f>F203</f>
        <v>33.2</v>
      </c>
      <c r="G69" s="72">
        <f>G203</f>
        <v>26.560000000000002</v>
      </c>
      <c r="H69" s="72">
        <f>H203</f>
        <v>19.92</v>
      </c>
      <c r="I69" s="72">
        <f>I203</f>
        <v>13.280000000000001</v>
      </c>
      <c r="J69" s="72">
        <f>J203</f>
        <v>6.640000000000001</v>
      </c>
      <c r="K69" s="72">
        <f>K203</f>
        <v>0.0</v>
      </c>
      <c r="L69" s="72">
        <f>L203</f>
        <v>0.0</v>
      </c>
      <c r="M69" s="72">
        <f>M203</f>
        <v>0.0</v>
      </c>
      <c r="N69" s="72">
        <f>N203</f>
        <v>0.0</v>
      </c>
      <c r="O69" s="72">
        <f>O203</f>
        <v>0.0</v>
      </c>
      <c r="P69" s="72">
        <f>P203</f>
        <v>0.0</v>
      </c>
    </row>
    <row r="70" spans="2:16">
      <c r="B70" s="20" t="s">
        <v>519</v>
      </c>
      <c r="C70" s="2" t="s">
        <v>321</v>
      </c>
      <c r="F70" s="72">
        <f>F173</f>
        <v>0.0</v>
      </c>
      <c r="G70" s="72">
        <f>G173</f>
        <v>0.14955521914666717</v>
      </c>
      <c r="H70" s="72">
        <f>H173</f>
        <v>-0.04253640324266571</v>
      </c>
      <c r="I70" s="72">
        <f>I173</f>
        <v>-0.5312723992575972</v>
      </c>
      <c r="J70" s="72">
        <f>J173</f>
        <v>-1.2932650085021329</v>
      </c>
      <c r="K70" s="72">
        <f>K173</f>
        <v>-2.187832940776614</v>
      </c>
      <c r="L70" s="72">
        <f>L173</f>
        <v>-3.1025678661483878</v>
      </c>
      <c r="M70" s="72">
        <f>M173</f>
        <v>-4.5601787811242405</v>
      </c>
      <c r="N70" s="72">
        <f>N173</f>
        <v>-6.192205782475309</v>
      </c>
      <c r="O70" s="72">
        <f>O173</f>
        <v>-6.789521348952851</v>
      </c>
      <c r="P70" s="72">
        <f>P173</f>
        <v>-6.744285896037724</v>
      </c>
    </row>
    <row r="71" spans="2:16">
      <c r="B71" s="10" t="s">
        <v>520</v>
      </c>
      <c r="C71" s="79" t="s">
        <v>321</v>
      </c>
      <c r="D71" s="11"/>
      <c r="E71" s="11"/>
      <c r="F71" s="87">
        <f>SUM(F67:F70)</f>
        <v>33.2</v>
      </c>
      <c r="G71" s="87">
        <f>SUM(G67:G70)</f>
        <v>28.01240576563733</v>
      </c>
      <c r="H71" s="87">
        <f>SUM(H67:H70)</f>
        <v>21.656876381245507</v>
      </c>
      <c r="I71" s="87">
        <f>SUM(I67:I70)</f>
        <v>14.935312484910375</v>
      </c>
      <c r="J71" s="87">
        <f>SUM(J67:J70)</f>
        <v>7.687876379933809</v>
      </c>
      <c r="K71" s="87">
        <f>SUM(K67:K70)</f>
        <v>0.3189991782704533</v>
      </c>
      <c r="L71" s="87">
        <f>SUM(L67:L70)</f>
        <v>-0.4181168276260232</v>
      </c>
      <c r="M71" s="87">
        <f>SUM(M67:M70)</f>
        <v>-1.685329228856685</v>
      </c>
      <c r="N71" s="87">
        <f>SUM(N67:N70)</f>
        <v>-3.113265033139691</v>
      </c>
      <c r="O71" s="87">
        <f>SUM(O67:O70)</f>
        <v>-3.4917525730804635</v>
      </c>
      <c r="P71" s="87">
        <f>SUM(P67:P70)</f>
        <v>-3.211896928933646</v>
      </c>
    </row>
    <row r="72" spans="2:16">
      <c r="B72" s="20" t="s">
        <v>521</v>
      </c>
      <c r="C72" s="2" t="s">
        <v>321</v>
      </c>
      <c r="F72" s="72">
        <f>F217</f>
        <v>68.028</v>
      </c>
      <c r="G72" s="72">
        <f>G217</f>
        <v>68.028</v>
      </c>
      <c r="H72" s="72">
        <f>H217</f>
        <v>68.028</v>
      </c>
      <c r="I72" s="72">
        <f>I217</f>
        <v>68.028</v>
      </c>
      <c r="J72" s="72">
        <f>J217</f>
        <v>68.028</v>
      </c>
      <c r="K72" s="72">
        <f>K217</f>
        <v>68.028</v>
      </c>
      <c r="L72" s="72">
        <f>L217</f>
        <v>68.028</v>
      </c>
      <c r="M72" s="72">
        <f>M217</f>
        <v>68.028</v>
      </c>
      <c r="N72" s="72">
        <f>N217</f>
        <v>68.028</v>
      </c>
      <c r="O72" s="72">
        <f>O217</f>
        <v>68.028</v>
      </c>
      <c r="P72" s="72">
        <f>P217</f>
        <v>68.028</v>
      </c>
    </row>
    <row r="73" spans="2:16">
      <c r="B73" s="20" t="s">
        <v>522</v>
      </c>
      <c r="C73" s="2" t="s">
        <v>321</v>
      </c>
      <c r="F73" s="72">
        <f>F221</f>
        <v>-11.0545</v>
      </c>
      <c r="G73" s="72">
        <f>G221</f>
        <v>-25.978970583752734</v>
      </c>
      <c r="H73" s="72">
        <f>H221</f>
        <v>-19.363097261373294</v>
      </c>
      <c r="I73" s="72">
        <f>I221</f>
        <v>2.6381987218694967</v>
      </c>
      <c r="J73" s="72">
        <f>J221</f>
        <v>22.715546009406896</v>
      </c>
      <c r="K73" s="72">
        <f>K221</f>
        <v>46.12720145058631</v>
      </c>
      <c r="L73" s="72">
        <f>L221</f>
        <v>72.72819404556601</v>
      </c>
      <c r="M73" s="72">
        <f>M221</f>
        <v>100.56907398541475</v>
      </c>
      <c r="N73" s="72">
        <f>N221</f>
        <v>132.01847443720254</v>
      </c>
      <c r="O73" s="72">
        <f>O221</f>
        <v>170.86909446453296</v>
      </c>
      <c r="P73" s="72">
        <f>P221</f>
        <v>216.17571004032757</v>
      </c>
    </row>
    <row r="74" spans="2:16">
      <c r="B74" s="10" t="s">
        <v>523</v>
      </c>
      <c r="C74" s="79" t="s">
        <v>321</v>
      </c>
      <c r="D74" s="11"/>
      <c r="E74" s="11"/>
      <c r="F74" s="87">
        <f>F72+F73</f>
        <v>56.9735</v>
      </c>
      <c r="G74" s="87">
        <f>G72+G73</f>
        <v>42.04902941624727</v>
      </c>
      <c r="H74" s="87">
        <f>H72+H73</f>
        <v>48.66490273862671</v>
      </c>
      <c r="I74" s="87">
        <f>I72+I73</f>
        <v>70.6661987218695</v>
      </c>
      <c r="J74" s="87">
        <f>J72+J73</f>
        <v>90.7435460094069</v>
      </c>
      <c r="K74" s="87">
        <f>K72+K73</f>
        <v>114.15520145058632</v>
      </c>
      <c r="L74" s="87">
        <f>L72+L73</f>
        <v>140.75619404556602</v>
      </c>
      <c r="M74" s="87">
        <f>M72+M73</f>
        <v>168.59707398541474</v>
      </c>
      <c r="N74" s="87">
        <f>N72+N73</f>
        <v>200.04647443720256</v>
      </c>
      <c r="O74" s="87">
        <f>O72+O73</f>
        <v>238.89709446453298</v>
      </c>
      <c r="P74" s="87">
        <f>P72+P73</f>
        <v>284.20371004032756</v>
      </c>
    </row>
    <row r="75" spans="2:16">
      <c r="B75" s="10" t="s">
        <v>524</v>
      </c>
      <c r="C75" s="79" t="s">
        <v>321</v>
      </c>
      <c r="D75" s="11"/>
      <c r="E75" s="11"/>
      <c r="F75" s="87">
        <f>F71+F74</f>
        <v>90.1735</v>
      </c>
      <c r="G75" s="87">
        <f>G71+G74</f>
        <v>70.0614351818846</v>
      </c>
      <c r="H75" s="87">
        <f>H71+H74</f>
        <v>70.32177911987222</v>
      </c>
      <c r="I75" s="87">
        <f>I71+I74</f>
        <v>85.60151120677988</v>
      </c>
      <c r="J75" s="87">
        <f>J71+J74</f>
        <v>98.43142238934071</v>
      </c>
      <c r="K75" s="87">
        <f>K71+K74</f>
        <v>114.47420062885678</v>
      </c>
      <c r="L75" s="87">
        <f>L71+L74</f>
        <v>140.33807721794</v>
      </c>
      <c r="M75" s="87">
        <f>M71+M74</f>
        <v>166.91174475655805</v>
      </c>
      <c r="N75" s="87">
        <f>N71+N74</f>
        <v>196.93320940406286</v>
      </c>
      <c r="O75" s="87">
        <f>O71+O74</f>
        <v>235.4053418914525</v>
      </c>
      <c r="P75" s="87">
        <f>P71+P74</f>
        <v>280.9918131113939</v>
      </c>
    </row>
    <row r="76" spans="2:16">
      <c r="B76" s="90" t="s">
        <v>525</v>
      </c>
      <c r="C76" s="2" t="s">
        <v>321</v>
      </c>
      <c r="F76" s="94">
        <f>ROUND(F66-F75,4)</f>
        <v>0.0</v>
      </c>
      <c r="G76" s="94">
        <f>ROUND(G66-G75,4)</f>
        <v>0.0</v>
      </c>
      <c r="H76" s="94">
        <f>ROUND(H66-H75,4)</f>
        <v>0.0</v>
      </c>
      <c r="I76" s="94">
        <f>ROUND(I66-I75,4)</f>
        <v>0.0</v>
      </c>
      <c r="J76" s="94">
        <f>ROUND(J66-J75,4)</f>
        <v>0.0</v>
      </c>
      <c r="K76" s="94">
        <f>ROUND(K66-K75,4)</f>
        <v>0.0</v>
      </c>
      <c r="L76" s="94">
        <f>ROUND(L66-L75,4)</f>
        <v>0.0</v>
      </c>
      <c r="M76" s="94">
        <f>ROUND(M66-M75,4)</f>
        <v>0.0</v>
      </c>
      <c r="N76" s="94">
        <f>ROUND(N66-N75,4)</f>
        <v>0.0</v>
      </c>
      <c r="O76" s="94">
        <f>ROUND(O66-O75,4)</f>
        <v>0.0</v>
      </c>
      <c r="P76" s="94">
        <f>ROUND(P66-P75,4)</f>
        <v>0.0</v>
      </c>
    </row>
    <row r="78" spans="2:16" ht="18" customHeight="1">
      <c r="B78" s="4" t="s">
        <v>526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2:16">
      <c r="B79" s="20" t="s">
        <v>527</v>
      </c>
      <c r="C79" s="2" t="s">
        <v>102</v>
      </c>
      <c r="F79" s="48"/>
      <c r="G79" s="30">
        <f>Inputs!G35</f>
        <v>0.65</v>
      </c>
      <c r="H79" s="30">
        <f>Inputs!H35</f>
        <v>0.85</v>
      </c>
      <c r="I79" s="30">
        <f>Inputs!I35</f>
        <v>1.0</v>
      </c>
      <c r="J79" s="30">
        <f>Inputs!J35</f>
        <v>1.0</v>
      </c>
      <c r="K79" s="30">
        <f>Inputs!K35</f>
        <v>1.0</v>
      </c>
      <c r="L79" s="30">
        <f>Inputs!L35</f>
        <v>1.0</v>
      </c>
      <c r="M79" s="30">
        <f>Inputs!M35</f>
        <v>1.0</v>
      </c>
      <c r="N79" s="30">
        <f>Inputs!N35</f>
        <v>1.0</v>
      </c>
      <c r="O79" s="30">
        <f>Inputs!O35</f>
        <v>1.0</v>
      </c>
      <c r="P79" s="30">
        <f>Inputs!P35</f>
        <v>1.0</v>
      </c>
    </row>
    <row r="80" spans="2:16">
      <c r="B80" s="20" t="s">
        <v>528</v>
      </c>
      <c r="C80" s="2" t="s">
        <v>102</v>
      </c>
      <c r="F80" s="48"/>
      <c r="G80" s="30">
        <f>Inputs!G45</f>
        <v>0.0</v>
      </c>
      <c r="H80" s="30">
        <f>Inputs!H45</f>
        <v>0.0</v>
      </c>
      <c r="I80" s="30">
        <f>Inputs!I45</f>
        <v>0.0</v>
      </c>
      <c r="J80" s="30">
        <f>Inputs!J45</f>
        <v>0.025</v>
      </c>
      <c r="K80" s="30">
        <f>Inputs!K45</f>
        <v>0.025</v>
      </c>
      <c r="L80" s="30">
        <f>Inputs!L45</f>
        <v>0.025</v>
      </c>
      <c r="M80" s="30">
        <f>Inputs!M45</f>
        <v>0.025</v>
      </c>
      <c r="N80" s="30">
        <f>Inputs!N45</f>
        <v>0.025</v>
      </c>
      <c r="O80" s="30">
        <f>Inputs!O45</f>
        <v>0.025</v>
      </c>
      <c r="P80" s="30">
        <f>Inputs!P45</f>
        <v>0.025</v>
      </c>
    </row>
    <row r="81" spans="2:16">
      <c r="B81" s="20" t="s">
        <v>529</v>
      </c>
      <c r="C81" s="2" t="s">
        <v>102</v>
      </c>
      <c r="F81" s="48"/>
      <c r="G81" s="30">
        <f>IF(AND(G6&gt;=2,G6&lt;=6),Locations!$H$17,0)</f>
        <v>0.0</v>
      </c>
      <c r="H81" s="30">
        <f>IF(AND(H6&gt;=2,H6&lt;=6),Locations!$H$17,0)</f>
        <v>0.0</v>
      </c>
      <c r="I81" s="30">
        <f>IF(AND(I6&gt;=2,I6&lt;=6),Locations!$H$17,0)</f>
        <v>0.0</v>
      </c>
      <c r="J81" s="30">
        <f>IF(AND(J6&gt;=2,J6&lt;=6),Locations!$H$17,0)</f>
        <v>0.0</v>
      </c>
      <c r="K81" s="30">
        <f>IF(AND(K6&gt;=2,K6&lt;=6),Locations!$H$17,0)</f>
        <v>0.0</v>
      </c>
      <c r="L81" s="30">
        <f>IF(AND(L6&gt;=2,L6&lt;=6),Locations!$H$17,0)</f>
        <v>0.0</v>
      </c>
      <c r="M81" s="30">
        <f>IF(AND(M6&gt;=2,M6&lt;=6),Locations!$H$17,0)</f>
        <v>0.0</v>
      </c>
      <c r="N81" s="30">
        <f>IF(AND(N6&gt;=2,N6&lt;=6),Locations!$H$17,0)</f>
        <v>0.0</v>
      </c>
      <c r="O81" s="30">
        <f>IF(AND(O6&gt;=2,O6&lt;=6),Locations!$H$17,0)</f>
        <v>0.0</v>
      </c>
      <c r="P81" s="30">
        <f>IF(AND(P6&gt;=2,P6&lt;=6),Locations!$H$17,0)</f>
        <v>0.0</v>
      </c>
    </row>
    <row r="82" spans="2:16">
      <c r="B82" s="20" t="s">
        <v>530</v>
      </c>
      <c r="C82" s="2" t="s">
        <v>113</v>
      </c>
      <c r="F82" s="52"/>
      <c r="G82" s="95">
        <f>G7</f>
        <v>1.0</v>
      </c>
      <c r="H82" s="95">
        <f>G82*(1+H80)*(1+H81)</f>
        <v>1.0</v>
      </c>
      <c r="I82" s="95">
        <f>H82*(1+I80)*(1+I81)</f>
        <v>1.0</v>
      </c>
      <c r="J82" s="95">
        <f>I82*(1+J80)*(1+J81)</f>
        <v>1.025</v>
      </c>
      <c r="K82" s="95">
        <f>J82*(1+K80)*(1+K81)</f>
        <v>1.050625</v>
      </c>
      <c r="L82" s="95">
        <f>K82*(1+L80)*(1+L81)</f>
        <v>1.0768906249999999</v>
      </c>
      <c r="M82" s="95">
        <f>L82*(1+M80)*(1+M81)</f>
        <v>1.1038128906249998</v>
      </c>
      <c r="N82" s="95">
        <f>M82*(1+N80)*(1+N81)</f>
        <v>1.1314082128906247</v>
      </c>
      <c r="O82" s="95">
        <f>N82*(1+O80)*(1+O81)</f>
        <v>1.1596934182128902</v>
      </c>
      <c r="P82" s="95">
        <f>O82*(1+P80)*(1+P81)</f>
        <v>1.1886857536682123</v>
      </c>
    </row>
    <row r="83" spans="2:16">
      <c r="B83" s="20" t="s">
        <v>531</v>
      </c>
      <c r="C83" s="2" t="s">
        <v>84</v>
      </c>
      <c r="F83" s="96"/>
      <c r="G83" s="29">
        <f>Locations!$H$13*Inputs!$D$55*(1+Sourcing!$J$50)*Scenarios!$D$36*G79*G82</f>
        <v>91.0</v>
      </c>
      <c r="H83" s="29">
        <f>Locations!$H$13*Inputs!$D$55*(1+Sourcing!$J$50)*Scenarios!$D$36*H79*H82</f>
        <v>119.0</v>
      </c>
      <c r="I83" s="29">
        <f>Locations!$H$13*Inputs!$D$55*(1+Sourcing!$J$50)*Scenarios!$D$36*I79*I82</f>
        <v>140.0</v>
      </c>
      <c r="J83" s="29">
        <f>Locations!$H$13*Inputs!$D$55*(1+Sourcing!$J$50)*Scenarios!$D$36*J79*J82</f>
        <v>143.5</v>
      </c>
      <c r="K83" s="29">
        <f>Locations!$H$13*Inputs!$D$55*(1+Sourcing!$J$50)*Scenarios!$D$36*K79*K82</f>
        <v>147.08749999999998</v>
      </c>
      <c r="L83" s="29">
        <f>Locations!$H$13*Inputs!$D$55*(1+Sourcing!$J$50)*Scenarios!$D$36*L79*L82</f>
        <v>150.76468749999998</v>
      </c>
      <c r="M83" s="29">
        <f>Locations!$H$13*Inputs!$D$55*(1+Sourcing!$J$50)*Scenarios!$D$36*M79*M82</f>
        <v>154.53380468749998</v>
      </c>
      <c r="N83" s="29">
        <f>Locations!$H$13*Inputs!$D$55*(1+Sourcing!$J$50)*Scenarios!$D$36*N79*N82</f>
        <v>158.39714980468744</v>
      </c>
      <c r="O83" s="29">
        <f>Locations!$H$13*Inputs!$D$55*(1+Sourcing!$J$50)*Scenarios!$D$36*O79*O82</f>
        <v>162.3570785498046</v>
      </c>
      <c r="P83" s="29">
        <f>Locations!$H$13*Inputs!$D$55*(1+Sourcing!$J$50)*Scenarios!$D$36*P79*P82</f>
        <v>166.41600551354972</v>
      </c>
    </row>
    <row r="84" spans="2:16">
      <c r="B84" s="20" t="s">
        <v>532</v>
      </c>
      <c r="C84" s="2" t="s">
        <v>84</v>
      </c>
      <c r="F84" s="96"/>
      <c r="G84" s="29">
        <f>Locations!$H$7*Inputs!$D$74/(1-Inputs!$D$67-Locations!$H$16)*G7</f>
        <v>400.0</v>
      </c>
      <c r="H84" s="29">
        <f>Locations!$H$7*Inputs!$D$74/(1-Inputs!$D$67-Locations!$H$16)*H7</f>
        <v>400.0</v>
      </c>
      <c r="I84" s="29">
        <f>Locations!$H$7*Inputs!$D$74/(1-Inputs!$D$67-Locations!$H$16)*I7</f>
        <v>400.0</v>
      </c>
      <c r="J84" s="29">
        <f>Locations!$H$7*Inputs!$D$74/(1-Inputs!$D$67-Locations!$H$16)*J7</f>
        <v>400.0</v>
      </c>
      <c r="K84" s="29">
        <f>Locations!$H$7*Inputs!$D$74/(1-Inputs!$D$67-Locations!$H$16)*K7</f>
        <v>400.0</v>
      </c>
      <c r="L84" s="29">
        <f>Locations!$H$7*Inputs!$D$74/(1-Inputs!$D$67-Locations!$H$16)*L7</f>
        <v>400.0</v>
      </c>
      <c r="M84" s="29">
        <f>Locations!$H$7*Inputs!$D$74/(1-Inputs!$D$67-Locations!$H$16)*M7</f>
        <v>400.0</v>
      </c>
      <c r="N84" s="29">
        <f>Locations!$H$7*Inputs!$D$74/(1-Inputs!$D$67-Locations!$H$16)*N7</f>
        <v>400.0</v>
      </c>
      <c r="O84" s="29">
        <f>Locations!$H$7*Inputs!$D$74/(1-Inputs!$D$67-Locations!$H$16)*O7</f>
        <v>400.0</v>
      </c>
      <c r="P84" s="29">
        <f>Locations!$H$7*Inputs!$D$74/(1-Inputs!$D$67-Locations!$H$16)*P7</f>
        <v>400.0</v>
      </c>
    </row>
    <row r="85" spans="2:16">
      <c r="B85" s="16" t="s">
        <v>533</v>
      </c>
      <c r="C85" s="2" t="s">
        <v>84</v>
      </c>
      <c r="F85" s="97"/>
      <c r="G85" s="59">
        <f>MIN(G83,G84)</f>
        <v>91.0</v>
      </c>
      <c r="H85" s="59">
        <f>MIN(H83,H84)</f>
        <v>119.0</v>
      </c>
      <c r="I85" s="59">
        <f>MIN(I83,I84)</f>
        <v>140.0</v>
      </c>
      <c r="J85" s="59">
        <f>MIN(J83,J84)</f>
        <v>143.5</v>
      </c>
      <c r="K85" s="59">
        <f>MIN(K83,K84)</f>
        <v>147.08749999999998</v>
      </c>
      <c r="L85" s="59">
        <f>MIN(L83,L84)</f>
        <v>150.76468749999998</v>
      </c>
      <c r="M85" s="59">
        <f>MIN(M83,M84)</f>
        <v>154.53380468749998</v>
      </c>
      <c r="N85" s="59">
        <f>MIN(N83,N84)</f>
        <v>158.39714980468744</v>
      </c>
      <c r="O85" s="59">
        <f>MIN(O83,O84)</f>
        <v>162.3570785498046</v>
      </c>
      <c r="P85" s="59">
        <f>MIN(P83,P84)</f>
        <v>166.41600551354972</v>
      </c>
    </row>
    <row r="86" spans="2:16">
      <c r="B86" s="90" t="s">
        <v>534</v>
      </c>
      <c r="C86" s="2" t="s">
        <v>102</v>
      </c>
      <c r="F86" s="91"/>
      <c r="G86" s="92">
        <f>IF(G84&gt;0,G85/G84,0)</f>
        <v>0.2275</v>
      </c>
      <c r="H86" s="92">
        <f>IF(H84&gt;0,H85/H84,0)</f>
        <v>0.2975</v>
      </c>
      <c r="I86" s="92">
        <f>IF(I84&gt;0,I85/I84,0)</f>
        <v>0.35</v>
      </c>
      <c r="J86" s="92">
        <f>IF(J84&gt;0,J85/J84,0)</f>
        <v>0.35875</v>
      </c>
      <c r="K86" s="92">
        <f>IF(K84&gt;0,K85/K84,0)</f>
        <v>0.3677187499999999</v>
      </c>
      <c r="L86" s="92">
        <f>IF(L84&gt;0,L85/L84,0)</f>
        <v>0.37691171874999996</v>
      </c>
      <c r="M86" s="92">
        <f>IF(M84&gt;0,M85/M84,0)</f>
        <v>0.38633451171874994</v>
      </c>
      <c r="N86" s="92">
        <f>IF(N84&gt;0,N85/N84,0)</f>
        <v>0.3959928745117186</v>
      </c>
      <c r="O86" s="92">
        <f>IF(O84&gt;0,O85/O84,0)</f>
        <v>0.40589269637451153</v>
      </c>
      <c r="P86" s="92">
        <f>IF(P84&gt;0,P85/P84,0)</f>
        <v>0.4160400137838743</v>
      </c>
    </row>
    <row r="87" spans="2:16">
      <c r="B87" s="20" t="s">
        <v>535</v>
      </c>
      <c r="C87" s="2" t="s">
        <v>224</v>
      </c>
      <c r="F87" s="96"/>
      <c r="G87" s="29">
        <f>Locations!$H$15*G7</f>
        <v>360.0</v>
      </c>
      <c r="H87" s="29">
        <f>Locations!$H$15*H7</f>
        <v>360.0</v>
      </c>
      <c r="I87" s="29">
        <f>Locations!$H$15*I7</f>
        <v>360.0</v>
      </c>
      <c r="J87" s="29">
        <f>Locations!$H$15*J7</f>
        <v>360.0</v>
      </c>
      <c r="K87" s="29">
        <f>Locations!$H$15*K7</f>
        <v>360.0</v>
      </c>
      <c r="L87" s="29">
        <f>Locations!$H$15*L7</f>
        <v>360.0</v>
      </c>
      <c r="M87" s="29">
        <f>Locations!$H$15*M7</f>
        <v>360.0</v>
      </c>
      <c r="N87" s="29">
        <f>Locations!$H$15*N7</f>
        <v>360.0</v>
      </c>
      <c r="O87" s="29">
        <f>Locations!$H$15*O7</f>
        <v>360.0</v>
      </c>
      <c r="P87" s="29">
        <f>Locations!$H$15*P7</f>
        <v>360.0</v>
      </c>
    </row>
    <row r="88" spans="2:16">
      <c r="B88" s="20" t="s">
        <v>536</v>
      </c>
      <c r="C88" s="2" t="s">
        <v>84</v>
      </c>
      <c r="F88" s="96"/>
      <c r="G88" s="63">
        <f>G85*G87</f>
        <v>32760.0</v>
      </c>
      <c r="H88" s="63">
        <f>H85*H87</f>
        <v>42840.0</v>
      </c>
      <c r="I88" s="63">
        <f>I85*I87</f>
        <v>50400.0</v>
      </c>
      <c r="J88" s="63">
        <f>J85*J87</f>
        <v>51660.0</v>
      </c>
      <c r="K88" s="63">
        <f>K85*K87</f>
        <v>52951.49999999999</v>
      </c>
      <c r="L88" s="63">
        <f>L85*L87</f>
        <v>54275.28749999999</v>
      </c>
      <c r="M88" s="63">
        <f>M85*M87</f>
        <v>55632.16968749999</v>
      </c>
      <c r="N88" s="63">
        <f>N85*N87</f>
        <v>57022.97392968748</v>
      </c>
      <c r="O88" s="63">
        <f>O85*O87</f>
        <v>58448.54827792966</v>
      </c>
      <c r="P88" s="63">
        <f>P85*P87</f>
        <v>59909.7619848779</v>
      </c>
    </row>
    <row r="89" spans="2:16">
      <c r="B89" s="20" t="s">
        <v>537</v>
      </c>
      <c r="C89" s="2" t="s">
        <v>100</v>
      </c>
      <c r="F89" s="96"/>
      <c r="G89" s="29">
        <f>Locations!$H$14*(1+Sourcing!$J$49)*Scenarios!$D$37</f>
        <v>320.0</v>
      </c>
      <c r="H89" s="63">
        <f>G89*(1+H90)</f>
        <v>336.0</v>
      </c>
      <c r="I89" s="63">
        <f>H89*(1+I90)</f>
        <v>352.8</v>
      </c>
      <c r="J89" s="63">
        <f>I89*(1+J90)</f>
        <v>370.44000000000005</v>
      </c>
      <c r="K89" s="63">
        <f>J89*(1+K90)</f>
        <v>388.96200000000005</v>
      </c>
      <c r="L89" s="63">
        <f>K89*(1+L90)</f>
        <v>408.41010000000006</v>
      </c>
      <c r="M89" s="63">
        <f>L89*(1+M90)</f>
        <v>428.8306050000001</v>
      </c>
      <c r="N89" s="63">
        <f>M89*(1+N90)</f>
        <v>450.27213525000013</v>
      </c>
      <c r="O89" s="63">
        <f>N89*(1+O90)</f>
        <v>472.7857420125002</v>
      </c>
      <c r="P89" s="63">
        <f>O89*(1+P90)</f>
        <v>496.4250291131252</v>
      </c>
    </row>
    <row r="90" spans="2:16">
      <c r="B90" s="20" t="s">
        <v>538</v>
      </c>
      <c r="C90" s="2" t="s">
        <v>102</v>
      </c>
      <c r="F90" s="48"/>
      <c r="G90" s="30">
        <f>Inputs!G40</f>
        <v>0.0</v>
      </c>
      <c r="H90" s="30">
        <f>Inputs!H40</f>
        <v>0.05</v>
      </c>
      <c r="I90" s="30">
        <f>Inputs!I40</f>
        <v>0.05</v>
      </c>
      <c r="J90" s="30">
        <f>Inputs!J40</f>
        <v>0.05</v>
      </c>
      <c r="K90" s="30">
        <f>Inputs!K40</f>
        <v>0.05</v>
      </c>
      <c r="L90" s="30">
        <f>Inputs!L40</f>
        <v>0.05</v>
      </c>
      <c r="M90" s="30">
        <f>Inputs!M40</f>
        <v>0.05</v>
      </c>
      <c r="N90" s="30">
        <f>Inputs!N40</f>
        <v>0.05</v>
      </c>
      <c r="O90" s="30">
        <f>Inputs!O40</f>
        <v>0.05</v>
      </c>
      <c r="P90" s="30">
        <f>Inputs!P40</f>
        <v>0.05</v>
      </c>
    </row>
    <row r="91" spans="2:16">
      <c r="B91" s="10" t="s">
        <v>539</v>
      </c>
      <c r="C91" s="79" t="s">
        <v>321</v>
      </c>
      <c r="D91" s="11"/>
      <c r="E91" s="11"/>
      <c r="F91" s="87">
        <f>F88*F89/Lakh</f>
        <v>0.0</v>
      </c>
      <c r="G91" s="87">
        <f>G88*G89/Lakh</f>
        <v>104.832</v>
      </c>
      <c r="H91" s="87">
        <f>H88*H89/Lakh</f>
        <v>143.9424</v>
      </c>
      <c r="I91" s="87">
        <f>I88*I89/Lakh</f>
        <v>177.8112</v>
      </c>
      <c r="J91" s="87">
        <f>J88*J89/Lakh</f>
        <v>191.36930400000003</v>
      </c>
      <c r="K91" s="87">
        <f>K88*K89/Lakh</f>
        <v>205.96121343</v>
      </c>
      <c r="L91" s="87">
        <f>L88*L89/Lakh</f>
        <v>221.6657559540375</v>
      </c>
      <c r="M91" s="87">
        <f>M88*M89/Lakh</f>
        <v>238.5677698455329</v>
      </c>
      <c r="N91" s="87">
        <f>N88*N89/Lakh</f>
        <v>256.75856229625475</v>
      </c>
      <c r="O91" s="87">
        <f>O88*O89/Lakh</f>
        <v>276.3364026713441</v>
      </c>
      <c r="P91" s="87">
        <f>P88*P89/Lakh</f>
        <v>297.40705337503414</v>
      </c>
    </row>
    <row r="92" spans="2:16">
      <c r="B92" s="20" t="s">
        <v>466</v>
      </c>
      <c r="C92" s="2" t="s">
        <v>321</v>
      </c>
      <c r="F92" s="31">
        <f>F91*Inputs!$D$60</f>
        <v>0.0</v>
      </c>
      <c r="G92" s="31">
        <f>G91*Inputs!$D$60</f>
        <v>64.99584</v>
      </c>
      <c r="H92" s="31">
        <f>H91*Inputs!$D$60</f>
        <v>89.244288</v>
      </c>
      <c r="I92" s="31">
        <f>I91*Inputs!$D$60</f>
        <v>110.24294400000001</v>
      </c>
      <c r="J92" s="31">
        <f>J91*Inputs!$D$60</f>
        <v>118.64896848000002</v>
      </c>
      <c r="K92" s="31">
        <f>K91*Inputs!$D$60</f>
        <v>127.6959523266</v>
      </c>
      <c r="L92" s="31">
        <f>L91*Inputs!$D$60</f>
        <v>137.43276869150324</v>
      </c>
      <c r="M92" s="31">
        <f>M91*Inputs!$D$60</f>
        <v>147.9120173042304</v>
      </c>
      <c r="N92" s="31">
        <f>N91*Inputs!$D$60</f>
        <v>159.19030862367794</v>
      </c>
      <c r="O92" s="31">
        <f>O91*Inputs!$D$60</f>
        <v>171.32856965623336</v>
      </c>
      <c r="P92" s="31">
        <f>P91*Inputs!$D$60</f>
        <v>184.39237309252115</v>
      </c>
    </row>
    <row r="93" spans="2:16">
      <c r="B93" s="20" t="s">
        <v>467</v>
      </c>
      <c r="C93" s="2" t="s">
        <v>321</v>
      </c>
      <c r="F93" s="31">
        <f>F91*Inputs!$D$77</f>
        <v>0.0</v>
      </c>
      <c r="G93" s="31">
        <f>G91*Inputs!$D$77</f>
        <v>31.449599999999997</v>
      </c>
      <c r="H93" s="31">
        <f>H91*Inputs!$D$77</f>
        <v>43.182719999999996</v>
      </c>
      <c r="I93" s="31">
        <f>I91*Inputs!$D$77</f>
        <v>53.343360000000004</v>
      </c>
      <c r="J93" s="31">
        <f>J91*Inputs!$D$77</f>
        <v>57.410791200000006</v>
      </c>
      <c r="K93" s="31">
        <f>K91*Inputs!$D$77</f>
        <v>61.78836402899999</v>
      </c>
      <c r="L93" s="31">
        <f>L91*Inputs!$D$77</f>
        <v>66.49972678621126</v>
      </c>
      <c r="M93" s="31">
        <f>M91*Inputs!$D$77</f>
        <v>71.57033095365986</v>
      </c>
      <c r="N93" s="31">
        <f>N91*Inputs!$D$77</f>
        <v>77.02756868887643</v>
      </c>
      <c r="O93" s="31">
        <f>O91*Inputs!$D$77</f>
        <v>82.90092080140323</v>
      </c>
      <c r="P93" s="31">
        <f>P91*Inputs!$D$77</f>
        <v>89.22211601251024</v>
      </c>
    </row>
    <row r="94" spans="2:16">
      <c r="B94" s="20" t="s">
        <v>468</v>
      </c>
      <c r="C94" s="2" t="s">
        <v>321</v>
      </c>
      <c r="F94" s="31">
        <f>F91*Inputs!$D$76</f>
        <v>0.0</v>
      </c>
      <c r="G94" s="31">
        <f>G91*Inputs!$D$76</f>
        <v>8.38656</v>
      </c>
      <c r="H94" s="31">
        <f>H91*Inputs!$D$76</f>
        <v>11.515392</v>
      </c>
      <c r="I94" s="31">
        <f>I91*Inputs!$D$76</f>
        <v>14.224896000000001</v>
      </c>
      <c r="J94" s="31">
        <f>J91*Inputs!$D$76</f>
        <v>15.309544320000002</v>
      </c>
      <c r="K94" s="31">
        <f>K91*Inputs!$D$76</f>
        <v>16.4768970744</v>
      </c>
      <c r="L94" s="31">
        <f>L91*Inputs!$D$76</f>
        <v>17.733260476323</v>
      </c>
      <c r="M94" s="31">
        <f>M91*Inputs!$D$76</f>
        <v>19.08542158764263</v>
      </c>
      <c r="N94" s="31">
        <f>N91*Inputs!$D$76</f>
        <v>20.54068498370038</v>
      </c>
      <c r="O94" s="31">
        <f>O91*Inputs!$D$76</f>
        <v>22.106912213707528</v>
      </c>
      <c r="P94" s="31">
        <f>P91*Inputs!$D$76</f>
        <v>23.79256427000273</v>
      </c>
    </row>
    <row r="95" spans="2:16">
      <c r="B95" s="20" t="s">
        <v>540</v>
      </c>
      <c r="C95" s="2" t="s">
        <v>541</v>
      </c>
      <c r="F95" s="96"/>
      <c r="G95" s="29">
        <f>Inputs!$D$21*Scenarios!$D$42*Locations!$H$19*Inputs!G52*(1+Inputs!$D$72)^MAX(0,G6-3)</f>
        <v>0.0</v>
      </c>
      <c r="H95" s="29">
        <f>Inputs!$D$21*Scenarios!$D$42*Locations!$H$19*Inputs!H52*(1+Inputs!$D$72)^MAX(0,H6-3)</f>
        <v>0.0</v>
      </c>
      <c r="I95" s="29">
        <f>Inputs!$D$21*Scenarios!$D$42*Locations!$H$19*Inputs!I52*(1+Inputs!$D$72)^MAX(0,I6-3)</f>
        <v>0.0</v>
      </c>
      <c r="J95" s="29">
        <f>Inputs!$D$21*Scenarios!$D$42*Locations!$H$19*Inputs!J52*(1+Inputs!$D$72)^MAX(0,J6-3)</f>
        <v>0.0</v>
      </c>
      <c r="K95" s="29">
        <f>Inputs!$D$21*Scenarios!$D$42*Locations!$H$19*Inputs!K52*(1+Inputs!$D$72)^MAX(0,K6-3)</f>
        <v>0.0</v>
      </c>
      <c r="L95" s="29">
        <f>Inputs!$D$21*Scenarios!$D$42*Locations!$H$19*Inputs!L52*(1+Inputs!$D$72)^MAX(0,L6-3)</f>
        <v>0.0</v>
      </c>
      <c r="M95" s="29">
        <f>Inputs!$D$21*Scenarios!$D$42*Locations!$H$19*Inputs!M52*(1+Inputs!$D$72)^MAX(0,M6-3)</f>
        <v>0.0</v>
      </c>
      <c r="N95" s="29">
        <f>Inputs!$D$21*Scenarios!$D$42*Locations!$H$19*Inputs!N52*(1+Inputs!$D$72)^MAX(0,N6-3)</f>
        <v>0.0</v>
      </c>
      <c r="O95" s="29">
        <f>Inputs!$D$21*Scenarios!$D$42*Locations!$H$19*Inputs!O52*(1+Inputs!$D$72)^MAX(0,O6-3)</f>
        <v>0.0</v>
      </c>
      <c r="P95" s="29">
        <f>Inputs!$D$21*Scenarios!$D$42*Locations!$H$19*Inputs!P52*(1+Inputs!$D$72)^MAX(0,P6-3)</f>
        <v>0.0</v>
      </c>
    </row>
    <row r="96" spans="2:16">
      <c r="B96" s="20" t="s">
        <v>542</v>
      </c>
      <c r="C96" s="2" t="s">
        <v>543</v>
      </c>
      <c r="F96" s="96"/>
      <c r="G96" s="63">
        <f>G95*12</f>
        <v>0.0</v>
      </c>
      <c r="H96" s="63">
        <f>H95*12</f>
        <v>0.0</v>
      </c>
      <c r="I96" s="63">
        <f>I95*12</f>
        <v>0.0</v>
      </c>
      <c r="J96" s="63">
        <f>J95*12</f>
        <v>0.0</v>
      </c>
      <c r="K96" s="63">
        <f>K95*12</f>
        <v>0.0</v>
      </c>
      <c r="L96" s="63">
        <f>L95*12</f>
        <v>0.0</v>
      </c>
      <c r="M96" s="63">
        <f>M95*12</f>
        <v>0.0</v>
      </c>
      <c r="N96" s="63">
        <f>N95*12</f>
        <v>0.0</v>
      </c>
      <c r="O96" s="63">
        <f>O95*12</f>
        <v>0.0</v>
      </c>
      <c r="P96" s="63">
        <f>P95*12</f>
        <v>0.0</v>
      </c>
    </row>
    <row r="97" spans="2:16">
      <c r="B97" s="20" t="s">
        <v>544</v>
      </c>
      <c r="C97" s="2" t="s">
        <v>321</v>
      </c>
      <c r="F97" s="93"/>
      <c r="G97" s="31">
        <f>G96*Sourcing!$J$48*G8/Lakh</f>
        <v>0.0</v>
      </c>
      <c r="H97" s="31">
        <f>H96*Sourcing!$J$48*H8/Lakh</f>
        <v>0.0</v>
      </c>
      <c r="I97" s="31">
        <f>I96*Sourcing!$J$48*I8/Lakh</f>
        <v>0.0</v>
      </c>
      <c r="J97" s="31">
        <f>J96*Sourcing!$J$48*J8/Lakh</f>
        <v>0.0</v>
      </c>
      <c r="K97" s="31">
        <f>K96*Sourcing!$J$48*K8/Lakh</f>
        <v>0.0</v>
      </c>
      <c r="L97" s="31">
        <f>L96*Sourcing!$J$48*L8/Lakh</f>
        <v>0.0</v>
      </c>
      <c r="M97" s="31">
        <f>M96*Sourcing!$J$48*M8/Lakh</f>
        <v>0.0</v>
      </c>
      <c r="N97" s="31">
        <f>N96*Sourcing!$J$48*N8/Lakh</f>
        <v>0.0</v>
      </c>
      <c r="O97" s="31">
        <f>O96*Sourcing!$J$48*O8/Lakh</f>
        <v>0.0</v>
      </c>
      <c r="P97" s="31">
        <f>P96*Sourcing!$J$48*P8/Lakh</f>
        <v>0.0</v>
      </c>
    </row>
    <row r="98" spans="2:16">
      <c r="B98" s="10" t="s">
        <v>545</v>
      </c>
      <c r="C98" s="79" t="s">
        <v>321</v>
      </c>
      <c r="D98" s="11"/>
      <c r="E98" s="11"/>
      <c r="F98" s="87">
        <f>F91+F97</f>
        <v>0.0</v>
      </c>
      <c r="G98" s="87">
        <f>G91+G97</f>
        <v>104.832</v>
      </c>
      <c r="H98" s="87">
        <f>H91+H97</f>
        <v>143.9424</v>
      </c>
      <c r="I98" s="87">
        <f>I91+I97</f>
        <v>177.8112</v>
      </c>
      <c r="J98" s="87">
        <f>J91+J97</f>
        <v>191.36930400000003</v>
      </c>
      <c r="K98" s="87">
        <f>K91+K97</f>
        <v>205.96121343</v>
      </c>
      <c r="L98" s="87">
        <f>L91+L97</f>
        <v>221.6657559540375</v>
      </c>
      <c r="M98" s="87">
        <f>M91+M97</f>
        <v>238.5677698455329</v>
      </c>
      <c r="N98" s="87">
        <f>N91+N97</f>
        <v>256.75856229625475</v>
      </c>
      <c r="O98" s="87">
        <f>O91+O97</f>
        <v>276.3364026713441</v>
      </c>
      <c r="P98" s="87">
        <f>P91+P97</f>
        <v>297.40705337503414</v>
      </c>
    </row>
    <row r="100" spans="2:16" ht="18" customHeight="1">
      <c r="B100" s="4" t="s">
        <v>546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2:16">
      <c r="B101" s="20" t="s">
        <v>547</v>
      </c>
      <c r="C101" s="2" t="s">
        <v>84</v>
      </c>
      <c r="F101" s="96"/>
      <c r="G101" s="29">
        <f>G88*Inputs!$D$78</f>
        <v>29543.563636363637</v>
      </c>
      <c r="H101" s="29">
        <f>H88*Inputs!$D$78</f>
        <v>38633.89090909091</v>
      </c>
      <c r="I101" s="29">
        <f>I88*Inputs!$D$78</f>
        <v>45451.63636363637</v>
      </c>
      <c r="J101" s="29">
        <f>J88*Inputs!$D$78</f>
        <v>46587.92727272728</v>
      </c>
      <c r="K101" s="29">
        <f>K88*Inputs!$D$78</f>
        <v>47752.62545454545</v>
      </c>
      <c r="L101" s="29">
        <f>L88*Inputs!$D$78</f>
        <v>48946.44109090909</v>
      </c>
      <c r="M101" s="29">
        <f>M88*Inputs!$D$78</f>
        <v>50170.102118181814</v>
      </c>
      <c r="N101" s="29">
        <f>N88*Inputs!$D$78</f>
        <v>51424.35467113635</v>
      </c>
      <c r="O101" s="29">
        <f>O88*Inputs!$D$78</f>
        <v>52709.96353791475</v>
      </c>
      <c r="P101" s="29">
        <f>P88*Inputs!$D$78</f>
        <v>54027.71262636262</v>
      </c>
    </row>
    <row r="102" spans="2:16">
      <c r="B102" s="20" t="s">
        <v>548</v>
      </c>
      <c r="C102" s="2" t="s">
        <v>549</v>
      </c>
      <c r="F102" s="96"/>
      <c r="G102" s="29">
        <f>G101*Inputs!$D$64*Inputs!$D$65/1000</f>
        <v>452.0165236363636</v>
      </c>
      <c r="H102" s="29">
        <f>H101*Inputs!$D$64*Inputs!$D$65/1000</f>
        <v>591.0985309090909</v>
      </c>
      <c r="I102" s="29">
        <f>I101*Inputs!$D$64*Inputs!$D$65/1000</f>
        <v>695.4100363636364</v>
      </c>
      <c r="J102" s="29">
        <f>J101*Inputs!$D$64*Inputs!$D$65/1000</f>
        <v>712.7952872727273</v>
      </c>
      <c r="K102" s="29">
        <f>K101*Inputs!$D$64*Inputs!$D$65/1000</f>
        <v>730.6151694545455</v>
      </c>
      <c r="L102" s="29">
        <f>L101*Inputs!$D$64*Inputs!$D$65/1000</f>
        <v>748.8805486909089</v>
      </c>
      <c r="M102" s="29">
        <f>M101*Inputs!$D$64*Inputs!$D$65/1000</f>
        <v>767.6025624081817</v>
      </c>
      <c r="N102" s="29">
        <f>N101*Inputs!$D$64*Inputs!$D$65/1000</f>
        <v>786.7926264683863</v>
      </c>
      <c r="O102" s="29">
        <f>O101*Inputs!$D$64*Inputs!$D$65/1000</f>
        <v>806.4624421300958</v>
      </c>
      <c r="P102" s="29">
        <f>P101*Inputs!$D$64*Inputs!$D$65/1000</f>
        <v>826.6240031833481</v>
      </c>
    </row>
    <row r="103" spans="2:16">
      <c r="B103" s="20" t="s">
        <v>550</v>
      </c>
      <c r="C103" s="2" t="s">
        <v>549</v>
      </c>
      <c r="F103" s="96"/>
      <c r="G103" s="29">
        <f>G94*Lakh/(Sourcing!$J$47*G8)</f>
        <v>349.43999999999994</v>
      </c>
      <c r="H103" s="29">
        <f>H94*Lakh/(Sourcing!$J$47*H8)</f>
        <v>456.96</v>
      </c>
      <c r="I103" s="29">
        <f>I94*Lakh/(Sourcing!$J$47*I8)</f>
        <v>537.6</v>
      </c>
      <c r="J103" s="29">
        <f>J94*Lakh/(Sourcing!$J$47*J8)</f>
        <v>551.0400000000001</v>
      </c>
      <c r="K103" s="29">
        <f>K94*Lakh/(Sourcing!$J$47*K8)</f>
        <v>564.8159999999999</v>
      </c>
      <c r="L103" s="29">
        <f>L94*Lakh/(Sourcing!$J$47*L8)</f>
        <v>578.9363999999998</v>
      </c>
      <c r="M103" s="29">
        <f>M94*Lakh/(Sourcing!$J$47*M8)</f>
        <v>593.40981</v>
      </c>
      <c r="N103" s="29">
        <f>N94*Lakh/(Sourcing!$J$47*N8)</f>
        <v>608.2450552499998</v>
      </c>
      <c r="O103" s="29">
        <f>O94*Lakh/(Sourcing!$J$47*O8)</f>
        <v>623.4511816312496</v>
      </c>
      <c r="P103" s="29">
        <f>P94*Lakh/(Sourcing!$J$47*P8)</f>
        <v>639.0374611720309</v>
      </c>
    </row>
    <row r="104" spans="2:16">
      <c r="B104" s="20" t="s">
        <v>551</v>
      </c>
      <c r="C104" s="2" t="s">
        <v>549</v>
      </c>
      <c r="F104" s="96"/>
      <c r="G104" s="29">
        <f>G102+Inputs!$D$22*G103+G96</f>
        <v>801.4565236363635</v>
      </c>
      <c r="H104" s="29">
        <f>H102+Inputs!$D$22*H103+H96</f>
        <v>1048.058530909091</v>
      </c>
      <c r="I104" s="29">
        <f>I102+Inputs!$D$22*I103+I96</f>
        <v>1233.0100363636366</v>
      </c>
      <c r="J104" s="29">
        <f>J102+Inputs!$D$22*J103+J96</f>
        <v>1263.8352872727273</v>
      </c>
      <c r="K104" s="29">
        <f>K102+Inputs!$D$22*K103+K96</f>
        <v>1295.4311694545454</v>
      </c>
      <c r="L104" s="29">
        <f>L102+Inputs!$D$22*L103+L96</f>
        <v>1327.8169486909087</v>
      </c>
      <c r="M104" s="29">
        <f>M102+Inputs!$D$22*M103+M96</f>
        <v>1361.0123724081818</v>
      </c>
      <c r="N104" s="29">
        <f>N102+Inputs!$D$22*N103+N96</f>
        <v>1395.037681718386</v>
      </c>
      <c r="O104" s="29">
        <f>O102+Inputs!$D$22*O103+O96</f>
        <v>1429.9136237613454</v>
      </c>
      <c r="P104" s="29">
        <f>P102+Inputs!$D$22*P103+P96</f>
        <v>1465.661464355379</v>
      </c>
    </row>
    <row r="105" spans="2:16">
      <c r="B105" s="20" t="s">
        <v>552</v>
      </c>
      <c r="C105" s="2" t="s">
        <v>549</v>
      </c>
      <c r="F105" s="96"/>
      <c r="G105" s="29">
        <f>IF(Inputs!$D$17&gt;=2,G104/(1-Sourcing!$D$6),0)</f>
        <v>954.114909090909</v>
      </c>
      <c r="H105" s="29">
        <f>IF(Inputs!$D$17&gt;=2,H104/(1-Sourcing!$D$6),0)</f>
        <v>1247.6887272727274</v>
      </c>
      <c r="I105" s="29">
        <f>IF(Inputs!$D$17&gt;=2,I104/(1-Sourcing!$D$6),0)</f>
        <v>1467.8690909090913</v>
      </c>
      <c r="J105" s="29">
        <f>IF(Inputs!$D$17&gt;=2,J104/(1-Sourcing!$D$6),0)</f>
        <v>1504.5658181818183</v>
      </c>
      <c r="K105" s="29">
        <f>IF(Inputs!$D$17&gt;=2,K104/(1-Sourcing!$D$6),0)</f>
        <v>1542.1799636363637</v>
      </c>
      <c r="L105" s="29">
        <f>IF(Inputs!$D$17&gt;=2,L104/(1-Sourcing!$D$6),0)</f>
        <v>1580.7344627272723</v>
      </c>
      <c r="M105" s="29">
        <f>IF(Inputs!$D$17&gt;=2,M104/(1-Sourcing!$D$6),0)</f>
        <v>1620.2528242954545</v>
      </c>
      <c r="N105" s="29">
        <f>IF(Inputs!$D$17&gt;=2,N104/(1-Sourcing!$D$6),0)</f>
        <v>1660.7591449028405</v>
      </c>
      <c r="O105" s="29">
        <f>IF(Inputs!$D$17&gt;=2,O104/(1-Sourcing!$D$6),0)</f>
        <v>1702.2781235254113</v>
      </c>
      <c r="P105" s="29">
        <f>IF(Inputs!$D$17&gt;=2,P104/(1-Sourcing!$D$6),0)</f>
        <v>1744.8350766135463</v>
      </c>
    </row>
    <row r="106" spans="2:16">
      <c r="B106" s="20" t="s">
        <v>553</v>
      </c>
      <c r="C106" s="2" t="s">
        <v>113</v>
      </c>
      <c r="F106" s="52"/>
      <c r="G106" s="89">
        <f>Inputs!G50*Scenarios!$D$39</f>
        <v>1.0</v>
      </c>
      <c r="H106" s="89">
        <f>Inputs!H50*Scenarios!$D$39</f>
        <v>1.03</v>
      </c>
      <c r="I106" s="89">
        <f>Inputs!I50*Scenarios!$D$39</f>
        <v>1.0609</v>
      </c>
      <c r="J106" s="89">
        <f>Inputs!J50*Scenarios!$D$39</f>
        <v>1.0927</v>
      </c>
      <c r="K106" s="89">
        <f>Inputs!K50*Scenarios!$D$39</f>
        <v>1.1255</v>
      </c>
      <c r="L106" s="89">
        <f>Inputs!L50*Scenarios!$D$39</f>
        <v>1.1593</v>
      </c>
      <c r="M106" s="89">
        <f>Inputs!M50*Scenarios!$D$39</f>
        <v>1.1941</v>
      </c>
      <c r="N106" s="89">
        <f>Inputs!N50*Scenarios!$D$39</f>
        <v>1.2299</v>
      </c>
      <c r="O106" s="89">
        <f>Inputs!O50*Scenarios!$D$39</f>
        <v>1.2668</v>
      </c>
      <c r="P106" s="89">
        <f>Inputs!P50*Scenarios!$D$39</f>
        <v>1.3048</v>
      </c>
    </row>
    <row r="107" spans="2:16">
      <c r="B107" s="20" t="s">
        <v>554</v>
      </c>
      <c r="C107" s="2" t="s">
        <v>338</v>
      </c>
      <c r="F107" s="96"/>
      <c r="G107" s="29">
        <f>Sourcing!$J$44*G106+Sourcing!$J$45*G8</f>
        <v>1307.9761904761906</v>
      </c>
      <c r="H107" s="29">
        <f>Sourcing!$J$44*H106+Sourcing!$J$45*H8</f>
        <v>1351.3154761904764</v>
      </c>
      <c r="I107" s="29">
        <f>Sourcing!$J$44*I106+Sourcing!$J$45*I8</f>
        <v>1396.1599404761905</v>
      </c>
      <c r="J107" s="29">
        <f>Sourcing!$J$44*J106+Sourcing!$J$45*J8</f>
        <v>1442.5352083333337</v>
      </c>
      <c r="K107" s="29">
        <f>Sourcing!$J$44*K106+Sourcing!$J$45*K8</f>
        <v>1490.5784836309526</v>
      </c>
      <c r="L107" s="29">
        <f>Sourcing!$J$44*L106+Sourcing!$J$45*L8</f>
        <v>1540.3180179315477</v>
      </c>
      <c r="M107" s="29">
        <f>Sourcing!$J$44*M106+Sourcing!$J$45*M8</f>
        <v>1591.7834753757443</v>
      </c>
      <c r="N107" s="29">
        <f>Sourcing!$J$44*N106+Sourcing!$J$45*N8</f>
        <v>1645.0060033111981</v>
      </c>
      <c r="O107" s="29">
        <f>Sourcing!$J$44*O106+Sourcing!$J$45*O8</f>
        <v>1700.128604071996</v>
      </c>
      <c r="P107" s="29">
        <f>Sourcing!$J$44*P106+Sourcing!$J$45*P8</f>
        <v>1757.1856176089293</v>
      </c>
    </row>
    <row r="108" spans="2:16">
      <c r="B108" s="20" t="s">
        <v>555</v>
      </c>
      <c r="C108" s="2" t="s">
        <v>321</v>
      </c>
      <c r="F108" s="93"/>
      <c r="G108" s="31">
        <f>G102*(G107+Sourcing!$D$10*G8)/Lakh</f>
        <v>5.957470158545455</v>
      </c>
      <c r="H108" s="31">
        <f>H102*(H107+Sourcing!$D$10*H8)/Lakh</f>
        <v>8.049671273454546</v>
      </c>
      <c r="I108" s="31">
        <f>I102*(I107+Sourcing!$D$10*I8)/Lakh</f>
        <v>9.785705306269092</v>
      </c>
      <c r="J108" s="31">
        <f>J102*(J107+Sourcing!$D$10*J8)/Lakh</f>
        <v>10.36483794669273</v>
      </c>
      <c r="K108" s="31">
        <f>K102*(K107+Sourcing!$D$10*K8)/Lakh</f>
        <v>10.97919924451496</v>
      </c>
      <c r="L108" s="31">
        <f>L102*(L107+Sourcing!$D$10*L8)/Lakh</f>
        <v>11.630720267951617</v>
      </c>
      <c r="M108" s="31">
        <f>M102*(M107+Sourcing!$D$10*M8)/Lakh</f>
        <v>12.3214368297358</v>
      </c>
      <c r="N108" s="31">
        <f>N102*(N107+Sourcing!$D$10*N8)/Lakh</f>
        <v>13.053495562739453</v>
      </c>
      <c r="O108" s="31">
        <f>O102*(O107+Sourcing!$D$10*O8)/Lakh</f>
        <v>13.830049892284979</v>
      </c>
      <c r="P108" s="31">
        <f>P102*(P107+Sourcing!$D$10*P8)/Lakh</f>
        <v>14.653554609655316</v>
      </c>
    </row>
    <row r="109" spans="2:16">
      <c r="B109" s="20" t="s">
        <v>556</v>
      </c>
      <c r="C109" s="2" t="s">
        <v>321</v>
      </c>
      <c r="F109" s="93"/>
      <c r="G109" s="31">
        <f>G101*Inputs!$D$66*G8/Lakh</f>
        <v>7.090455272727273</v>
      </c>
      <c r="H109" s="31">
        <f>H101*Inputs!$D$66*H8/Lakh</f>
        <v>9.73574050909091</v>
      </c>
      <c r="I109" s="31">
        <f>I101*Inputs!$D$66*I8/Lakh</f>
        <v>12.026502981818185</v>
      </c>
      <c r="J109" s="31">
        <f>J101*Inputs!$D$66*J8/Lakh</f>
        <v>12.943523834181821</v>
      </c>
      <c r="K109" s="31">
        <f>K101*Inputs!$D$66*K8/Lakh</f>
        <v>13.930467526538184</v>
      </c>
      <c r="L109" s="31">
        <f>L101*Inputs!$D$66*L8/Lakh</f>
        <v>14.992665675436722</v>
      </c>
      <c r="M109" s="31">
        <f>M101*Inputs!$D$66*M8/Lakh</f>
        <v>16.13585643318877</v>
      </c>
      <c r="N109" s="31">
        <f>N101*Inputs!$D$66*N8/Lakh</f>
        <v>17.366215486219414</v>
      </c>
      <c r="O109" s="31">
        <f>O101*Inputs!$D$66*O8/Lakh</f>
        <v>18.690389417043644</v>
      </c>
      <c r="P109" s="31">
        <f>P101*Inputs!$D$66*P8/Lakh</f>
        <v>20.115531610093218</v>
      </c>
    </row>
    <row r="110" spans="2:16">
      <c r="B110" s="20" t="s">
        <v>557</v>
      </c>
      <c r="C110" s="2" t="s">
        <v>321</v>
      </c>
      <c r="F110" s="93"/>
      <c r="G110" s="31">
        <f>G88*(Inputs!$D$67+Locations!$H$16)*Inputs!$D$68*G8/Lakh</f>
        <v>1.9656</v>
      </c>
      <c r="H110" s="31">
        <f>H88*(Inputs!$D$67+Locations!$H$16)*Inputs!$D$68*H8/Lakh</f>
        <v>2.69892</v>
      </c>
      <c r="I110" s="31">
        <f>I88*(Inputs!$D$67+Locations!$H$16)*Inputs!$D$68*I8/Lakh</f>
        <v>3.33396</v>
      </c>
      <c r="J110" s="31">
        <f>J88*(Inputs!$D$67+Locations!$H$16)*Inputs!$D$68*J8/Lakh</f>
        <v>3.588174450000001</v>
      </c>
      <c r="K110" s="31">
        <f>K88*(Inputs!$D$67+Locations!$H$16)*Inputs!$D$68*K8/Lakh</f>
        <v>3.8617727518125005</v>
      </c>
      <c r="L110" s="31">
        <f>L88*(Inputs!$D$67+Locations!$H$16)*Inputs!$D$68*L8/Lakh</f>
        <v>4.156232924138204</v>
      </c>
      <c r="M110" s="31">
        <f>M88*(Inputs!$D$67+Locations!$H$16)*Inputs!$D$68*M8/Lakh</f>
        <v>4.473145684603742</v>
      </c>
      <c r="N110" s="31">
        <f>N88*(Inputs!$D$67+Locations!$H$16)*Inputs!$D$68*N8/Lakh</f>
        <v>4.814223043054777</v>
      </c>
      <c r="O110" s="31">
        <f>O88*(Inputs!$D$67+Locations!$H$16)*Inputs!$D$68*O8/Lakh</f>
        <v>5.181307550087702</v>
      </c>
      <c r="P110" s="31">
        <f>P88*(Inputs!$D$67+Locations!$H$16)*Inputs!$D$68*P8/Lakh</f>
        <v>5.57638225078189</v>
      </c>
    </row>
    <row r="111" spans="2:16">
      <c r="B111" s="20" t="s">
        <v>467</v>
      </c>
      <c r="C111" s="2" t="s">
        <v>321</v>
      </c>
      <c r="F111" s="93"/>
      <c r="G111" s="31">
        <f>G93*Inputs!$D$69</f>
        <v>11.950847999999999</v>
      </c>
      <c r="H111" s="31">
        <f>H93*Inputs!$D$69</f>
        <v>16.4094336</v>
      </c>
      <c r="I111" s="31">
        <f>I93*Inputs!$D$69</f>
        <v>20.2704768</v>
      </c>
      <c r="J111" s="31">
        <f>J93*Inputs!$D$69</f>
        <v>21.816100656000003</v>
      </c>
      <c r="K111" s="31">
        <f>K93*Inputs!$D$69</f>
        <v>23.479578331019997</v>
      </c>
      <c r="L111" s="31">
        <f>L93*Inputs!$D$69</f>
        <v>25.269896178760277</v>
      </c>
      <c r="M111" s="31">
        <f>M93*Inputs!$D$69</f>
        <v>27.19672576239075</v>
      </c>
      <c r="N111" s="31">
        <f>N93*Inputs!$D$69</f>
        <v>29.270476101773042</v>
      </c>
      <c r="O111" s="31">
        <f>O93*Inputs!$D$69</f>
        <v>31.50234990453323</v>
      </c>
      <c r="P111" s="31">
        <f>P93*Inputs!$D$69</f>
        <v>33.90440408475389</v>
      </c>
    </row>
    <row r="112" spans="2:16">
      <c r="B112" s="20" t="s">
        <v>558</v>
      </c>
      <c r="C112" s="2" t="s">
        <v>321</v>
      </c>
      <c r="F112" s="93"/>
      <c r="G112" s="31">
        <f>IF(Inputs!$D$22=1,G103*(G107+Sourcing!$D$11*G8)/Lakh,G94*(1-Inputs!$D$70))</f>
        <v>4.738323199999999</v>
      </c>
      <c r="H112" s="31">
        <f>IF(Inputs!$D$22=1,H103*(H107+Sourcing!$D$11*H8)/Lakh,H94*(1-Inputs!$D$70))</f>
        <v>6.405279040000001</v>
      </c>
      <c r="I112" s="31">
        <f>IF(Inputs!$D$22=1,I103*(I107+Sourcing!$D$11*I8)/Lakh,I94*(1-Inputs!$D$70))</f>
        <v>7.790253760000001</v>
      </c>
      <c r="J112" s="31">
        <f>IF(Inputs!$D$22=1,J103*(J107+Sourcing!$D$11*J8)/Lakh,J94*(1-Inputs!$D$70))</f>
        <v>8.255136898400004</v>
      </c>
      <c r="K112" s="31">
        <f>IF(Inputs!$D$22=1,K103*(K107+Sourcing!$D$11*K8)/Lakh,K94*(1-Inputs!$D$70))</f>
        <v>8.748563709593</v>
      </c>
      <c r="L112" s="31">
        <f>IF(Inputs!$D$22=1,L103*(L107+Sourcing!$D$11*L8)/Lakh,L94*(1-Inputs!$D$70))</f>
        <v>9.272126891090714</v>
      </c>
      <c r="M112" s="31">
        <f>IF(Inputs!$D$22=1,M103*(M107+Sourcing!$D$11*M8)/Lakh,M94*(1-Inputs!$D$70))</f>
        <v>9.827507728591453</v>
      </c>
      <c r="N112" s="31">
        <f>IF(Inputs!$D$22=1,N103*(N107+Sourcing!$D$11*N8)/Lakh,N94*(1-Inputs!$D$70))</f>
        <v>10.41648137338002</v>
      </c>
      <c r="O112" s="31">
        <f>IF(Inputs!$D$22=1,O103*(O107+Sourcing!$D$11*O8)/Lakh,O94*(1-Inputs!$D$70))</f>
        <v>11.04161011561188</v>
      </c>
      <c r="P112" s="31">
        <f>IF(Inputs!$D$22=1,P103*(P107+Sourcing!$D$11*P8)/Lakh,P94*(1-Inputs!$D$70))</f>
        <v>11.704925644248227</v>
      </c>
    </row>
    <row r="113" spans="2:16">
      <c r="B113" s="20" t="s">
        <v>559</v>
      </c>
      <c r="C113" s="2" t="s">
        <v>321</v>
      </c>
      <c r="F113" s="93"/>
      <c r="G113" s="31">
        <f>G96*(G107+Sourcing!$D$12*G8)/Lakh</f>
        <v>0.0</v>
      </c>
      <c r="H113" s="31">
        <f>H96*(H107+Sourcing!$D$12*H8)/Lakh</f>
        <v>0.0</v>
      </c>
      <c r="I113" s="31">
        <f>I96*(I107+Sourcing!$D$12*I8)/Lakh</f>
        <v>0.0</v>
      </c>
      <c r="J113" s="31">
        <f>J96*(J107+Sourcing!$D$12*J8)/Lakh</f>
        <v>0.0</v>
      </c>
      <c r="K113" s="31">
        <f>K96*(K107+Sourcing!$D$12*K8)/Lakh</f>
        <v>0.0</v>
      </c>
      <c r="L113" s="31">
        <f>L96*(L107+Sourcing!$D$12*L8)/Lakh</f>
        <v>0.0</v>
      </c>
      <c r="M113" s="31">
        <f>M96*(M107+Sourcing!$D$12*M8)/Lakh</f>
        <v>0.0</v>
      </c>
      <c r="N113" s="31">
        <f>N96*(N107+Sourcing!$D$12*N8)/Lakh</f>
        <v>0.0</v>
      </c>
      <c r="O113" s="31">
        <f>O96*(O107+Sourcing!$D$12*O8)/Lakh</f>
        <v>0.0</v>
      </c>
      <c r="P113" s="31">
        <f>P96*(P107+Sourcing!$D$12*P8)/Lakh</f>
        <v>0.0</v>
      </c>
    </row>
    <row r="114" spans="2:16">
      <c r="B114" s="10" t="s">
        <v>472</v>
      </c>
      <c r="C114" s="79" t="s">
        <v>321</v>
      </c>
      <c r="D114" s="11"/>
      <c r="E114" s="11"/>
      <c r="F114" s="87">
        <f>SUM(F108:F113)</f>
        <v>0.0</v>
      </c>
      <c r="G114" s="87">
        <f>SUM(G108:G113)</f>
        <v>31.702696631272726</v>
      </c>
      <c r="H114" s="87">
        <f>SUM(H108:H113)</f>
        <v>43.29904442254546</v>
      </c>
      <c r="I114" s="87">
        <f>SUM(I108:I113)</f>
        <v>53.20689884808728</v>
      </c>
      <c r="J114" s="87">
        <f>SUM(J108:J113)</f>
        <v>56.96777378527456</v>
      </c>
      <c r="K114" s="87">
        <f>SUM(K108:K113)</f>
        <v>60.99958156347864</v>
      </c>
      <c r="L114" s="87">
        <f>SUM(L108:L113)</f>
        <v>65.32164193737754</v>
      </c>
      <c r="M114" s="87">
        <f>SUM(M108:M113)</f>
        <v>69.95467243851051</v>
      </c>
      <c r="N114" s="87">
        <f>SUM(N108:N113)</f>
        <v>74.9208915671667</v>
      </c>
      <c r="O114" s="87">
        <f>SUM(O108:O113)</f>
        <v>80.24570687956142</v>
      </c>
      <c r="P114" s="87">
        <f>SUM(P108:P113)</f>
        <v>85.95479819953255</v>
      </c>
    </row>
    <row r="115" spans="2:16">
      <c r="B115" s="90" t="s">
        <v>560</v>
      </c>
      <c r="C115" s="2" t="s">
        <v>102</v>
      </c>
      <c r="F115" s="92">
        <f>IF(F98&gt;0,F114/F98,0)</f>
        <v>0.0</v>
      </c>
      <c r="G115" s="92">
        <f>IF(G98&gt;0,G114/G98,0)</f>
        <v>0.302414306998557</v>
      </c>
      <c r="H115" s="92">
        <f>IF(H98&gt;0,H114/H98,0)</f>
        <v>0.3008081317425961</v>
      </c>
      <c r="I115" s="92">
        <f>IF(I98&gt;0,I114/I98,0)</f>
        <v>0.2992325503010343</v>
      </c>
      <c r="J115" s="92">
        <f>IF(J98&gt;0,J114/J98,0)</f>
        <v>0.2976850131893386</v>
      </c>
      <c r="K115" s="92">
        <f>IF(K98&gt;0,K114/K98,0)</f>
        <v>0.29617023782106705</v>
      </c>
      <c r="L115" s="92">
        <f>IF(L98&gt;0,L114/L98,0)</f>
        <v>0.2946853096737324</v>
      </c>
      <c r="M115" s="92">
        <f>IF(M98&gt;0,M114/M98,0)</f>
        <v>0.29322767481879275</v>
      </c>
      <c r="N115" s="92">
        <f>IF(N98&gt;0,N114/N98,0)</f>
        <v>0.291795104697311</v>
      </c>
      <c r="O115" s="92">
        <f>IF(O98&gt;0,O114/O98,0)</f>
        <v>0.29039137118318886</v>
      </c>
      <c r="P115" s="92">
        <f>IF(P98&gt;0,P114/P98,0)</f>
        <v>0.2890139868039459</v>
      </c>
    </row>
    <row r="116" spans="2:16">
      <c r="B116" s="90" t="s">
        <v>561</v>
      </c>
      <c r="C116" s="2" t="s">
        <v>321</v>
      </c>
      <c r="F116" s="98">
        <f>F108+Inputs!$D$22*F112+F113</f>
        <v>0.0</v>
      </c>
      <c r="G116" s="98">
        <f>G108+Inputs!$D$22*G112+G113</f>
        <v>10.695793358545455</v>
      </c>
      <c r="H116" s="98">
        <f>H108+Inputs!$D$22*H112+H113</f>
        <v>14.454950313454546</v>
      </c>
      <c r="I116" s="98">
        <f>I108+Inputs!$D$22*I112+I113</f>
        <v>17.575959066269093</v>
      </c>
      <c r="J116" s="98">
        <f>J108+Inputs!$D$22*J112+J113</f>
        <v>18.619974845092734</v>
      </c>
      <c r="K116" s="98">
        <f>K108+Inputs!$D$22*K112+K113</f>
        <v>19.72776295410796</v>
      </c>
      <c r="L116" s="98">
        <f>L108+Inputs!$D$22*L112+L113</f>
        <v>20.90284715904233</v>
      </c>
      <c r="M116" s="98">
        <f>M108+Inputs!$D$22*M112+M113</f>
        <v>22.14894455832725</v>
      </c>
      <c r="N116" s="98">
        <f>N108+Inputs!$D$22*N112+N113</f>
        <v>23.469976936119473</v>
      </c>
      <c r="O116" s="98">
        <f>O108+Inputs!$D$22*O112+O113</f>
        <v>24.871660007896857</v>
      </c>
      <c r="P116" s="98">
        <f>P108+Inputs!$D$22*P112+P113</f>
        <v>26.358480253903544</v>
      </c>
    </row>
    <row r="117" spans="2:16">
      <c r="B117" s="90" t="s">
        <v>562</v>
      </c>
      <c r="C117" s="2" t="s">
        <v>100</v>
      </c>
      <c r="F117" s="99"/>
      <c r="G117" s="94">
        <f>IF(G101&gt;0,G108*Lakh/G101,0)</f>
        <v>20.165035714285715</v>
      </c>
      <c r="H117" s="94">
        <f>IF(H101&gt;0,H108*Lakh/H101,0)</f>
        <v>20.835776785714287</v>
      </c>
      <c r="I117" s="94">
        <f>IF(I101&gt;0,I108*Lakh/I101,0)</f>
        <v>21.529929589285715</v>
      </c>
      <c r="J117" s="94">
        <f>IF(J101&gt;0,J108*Lakh/J101,0)</f>
        <v>22.247905312500002</v>
      </c>
      <c r="K117" s="94">
        <f>IF(K101&gt;0,K108*Lakh/K101,0)</f>
        <v>22.991823255803578</v>
      </c>
      <c r="L117" s="94">
        <f>IF(L101&gt;0,L108*Lakh/L101,0)</f>
        <v>23.762136753415177</v>
      </c>
      <c r="M117" s="94">
        <f>IF(M101&gt;0,M108*Lakh/M101,0)</f>
        <v>24.55932180626451</v>
      </c>
      <c r="N117" s="94">
        <f>IF(N101&gt;0,N108*Lakh/N101,0)</f>
        <v>25.38387821532774</v>
      </c>
      <c r="O117" s="94">
        <f>IF(O101&gt;0,O108*Lakh/O101,0)</f>
        <v>26.23801832520127</v>
      </c>
      <c r="P117" s="94">
        <f>IF(P101&gt;0,P108*Lakh/P101,0)</f>
        <v>27.122293166461336</v>
      </c>
    </row>
    <row r="119" spans="2:16" ht="18" customHeight="1">
      <c r="B119" s="4" t="s">
        <v>563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2:16">
      <c r="B120" s="20" t="s">
        <v>564</v>
      </c>
      <c r="C120" s="2" t="s">
        <v>113</v>
      </c>
      <c r="F120" s="52"/>
      <c r="G120" s="89">
        <f>1+Inputs!$D$94*MAX(0,G85/Locations!$H$13-1)</f>
        <v>1.0</v>
      </c>
      <c r="H120" s="89">
        <f>1+Inputs!$D$94*MAX(0,H85/Locations!$H$13-1)</f>
        <v>1.0</v>
      </c>
      <c r="I120" s="89">
        <f>1+Inputs!$D$94*MAX(0,I85/Locations!$H$13-1)</f>
        <v>1.0</v>
      </c>
      <c r="J120" s="89">
        <f>1+Inputs!$D$94*MAX(0,J85/Locations!$H$13-1)</f>
        <v>1.0125</v>
      </c>
      <c r="K120" s="89">
        <f>1+Inputs!$D$94*MAX(0,K85/Locations!$H$13-1)</f>
        <v>1.0253125</v>
      </c>
      <c r="L120" s="89">
        <f>1+Inputs!$D$94*MAX(0,L85/Locations!$H$13-1)</f>
        <v>1.0384453125</v>
      </c>
      <c r="M120" s="89">
        <f>1+Inputs!$D$94*MAX(0,M85/Locations!$H$13-1)</f>
        <v>1.0519064453125</v>
      </c>
      <c r="N120" s="89">
        <f>1+Inputs!$D$94*MAX(0,N85/Locations!$H$13-1)</f>
        <v>1.0657041064453123</v>
      </c>
      <c r="O120" s="89">
        <f>1+Inputs!$D$94*MAX(0,O85/Locations!$H$13-1)</f>
        <v>1.079846709106445</v>
      </c>
      <c r="P120" s="89">
        <f>1+Inputs!$D$94*MAX(0,P85/Locations!$H$13-1)</f>
        <v>1.0943428768341061</v>
      </c>
    </row>
    <row r="121" spans="2:16">
      <c r="B121" s="20" t="s">
        <v>475</v>
      </c>
      <c r="C121" s="2" t="s">
        <v>321</v>
      </c>
      <c r="F121" s="93"/>
      <c r="G121" s="31">
        <f>Inputs!$D$95*12*(1+Inputs!$D$92)*(1+Inputs!$D$93)^(G6-1)*G120*Scenarios!$D$41/Lakh</f>
        <v>39.053999999999995</v>
      </c>
      <c r="H121" s="31">
        <f>Inputs!$D$95*12*(1+Inputs!$D$92)*(1+Inputs!$D$93)^(H6-1)*H120*Scenarios!$D$41/Lakh</f>
        <v>42.17832</v>
      </c>
      <c r="I121" s="31">
        <f>Inputs!$D$95*12*(1+Inputs!$D$92)*(1+Inputs!$D$93)^(I6-1)*I120*Scenarios!$D$41/Lakh</f>
        <v>45.55258559999999</v>
      </c>
      <c r="J121" s="31">
        <f>Inputs!$D$95*12*(1+Inputs!$D$92)*(1+Inputs!$D$93)^(J6-1)*J120*Scenarios!$D$41/Lakh</f>
        <v>49.8117523536</v>
      </c>
      <c r="K121" s="31">
        <f>Inputs!$D$95*12*(1+Inputs!$D$92)*(1+Inputs!$D$93)^(K6-1)*K120*Scenarios!$D$41/Lakh</f>
        <v>54.47745315738721</v>
      </c>
      <c r="L121" s="31">
        <f>Inputs!$D$95*12*(1+Inputs!$D$92)*(1+Inputs!$D$93)^(L6-1)*L120*Scenarios!$D$41/Lakh</f>
        <v>59.5892514113358</v>
      </c>
      <c r="M121" s="31">
        <f>Inputs!$D$95*12*(1+Inputs!$D$92)*(1+Inputs!$D$93)^(M6-1)*M120*Scenarios!$D$41/Lakh</f>
        <v>65.19062893974555</v>
      </c>
      <c r="N121" s="31">
        <f>Inputs!$D$95*12*(1+Inputs!$D$92)*(1+Inputs!$D$93)^(N6-1)*N120*Scenarios!$D$41/Lakh</f>
        <v>71.32938007388688</v>
      </c>
      <c r="O121" s="31">
        <f>Inputs!$D$95*12*(1+Inputs!$D$92)*(1+Inputs!$D$93)^(O6-1)*O120*Scenarios!$D$41/Lakh</f>
        <v>78.0580458863884</v>
      </c>
      <c r="P121" s="31">
        <f>Inputs!$D$95*12*(1+Inputs!$D$92)*(1+Inputs!$D$93)^(P6-1)*P120*Scenarios!$D$41/Lakh</f>
        <v>85.43439271239527</v>
      </c>
    </row>
    <row r="122" spans="2:16">
      <c r="B122" s="20" t="s">
        <v>71</v>
      </c>
      <c r="C122" s="2" t="s">
        <v>321</v>
      </c>
      <c r="F122" s="93"/>
      <c r="G122" s="31">
        <f>(1-Inputs!$D$20)*Capex!$G$26*Locations!$H$8*Scenarios!$D$38*12*(1+Inputs!$D$112)^(G6-1)/Lakh</f>
        <v>13.8</v>
      </c>
      <c r="H122" s="31">
        <f>(1-Inputs!$D$20)*Capex!$G$26*Locations!$H$8*Scenarios!$D$38*12*(1+Inputs!$D$112)^(H6-1)/Lakh</f>
        <v>14.49</v>
      </c>
      <c r="I122" s="31">
        <f>(1-Inputs!$D$20)*Capex!$G$26*Locations!$H$8*Scenarios!$D$38*12*(1+Inputs!$D$112)^(I6-1)/Lakh</f>
        <v>15.2145</v>
      </c>
      <c r="J122" s="31">
        <f>(1-Inputs!$D$20)*Capex!$G$26*Locations!$H$8*Scenarios!$D$38*12*(1+Inputs!$D$112)^(J6-1)/Lakh</f>
        <v>15.975225000000002</v>
      </c>
      <c r="K122" s="31">
        <f>(1-Inputs!$D$20)*Capex!$G$26*Locations!$H$8*Scenarios!$D$38*12*(1+Inputs!$D$112)^(K6-1)/Lakh</f>
        <v>16.773986250000004</v>
      </c>
      <c r="L122" s="31">
        <f>(1-Inputs!$D$20)*Capex!$G$26*Locations!$H$8*Scenarios!$D$38*12*(1+Inputs!$D$112)^(L6-1)/Lakh</f>
        <v>17.612685562500005</v>
      </c>
      <c r="M122" s="31">
        <f>(1-Inputs!$D$20)*Capex!$G$26*Locations!$H$8*Scenarios!$D$38*12*(1+Inputs!$D$112)^(M6-1)/Lakh</f>
        <v>18.493319840625006</v>
      </c>
      <c r="N122" s="31">
        <f>(1-Inputs!$D$20)*Capex!$G$26*Locations!$H$8*Scenarios!$D$38*12*(1+Inputs!$D$112)^(N6-1)/Lakh</f>
        <v>19.417985832656257</v>
      </c>
      <c r="O122" s="31">
        <f>(1-Inputs!$D$20)*Capex!$G$26*Locations!$H$8*Scenarios!$D$38*12*(1+Inputs!$D$112)^(O6-1)/Lakh</f>
        <v>20.388885124289068</v>
      </c>
      <c r="P122" s="31">
        <f>(1-Inputs!$D$20)*Capex!$G$26*Locations!$H$8*Scenarios!$D$38*12*(1+Inputs!$D$112)^(P6-1)/Lakh</f>
        <v>21.408329380503524</v>
      </c>
    </row>
    <row r="123" spans="2:16">
      <c r="B123" s="20" t="s">
        <v>565</v>
      </c>
      <c r="C123" s="2" t="s">
        <v>321</v>
      </c>
      <c r="F123" s="93"/>
      <c r="G123" s="31">
        <f>Capex!$G$26*Locations!$H$9*12*G9/Lakh</f>
        <v>0.48</v>
      </c>
      <c r="H123" s="31">
        <f>Capex!$G$26*Locations!$H$9*12*H9/Lakh</f>
        <v>0.504</v>
      </c>
      <c r="I123" s="31">
        <f>Capex!$G$26*Locations!$H$9*12*I9/Lakh</f>
        <v>0.5292</v>
      </c>
      <c r="J123" s="31">
        <f>Capex!$G$26*Locations!$H$9*12*J9/Lakh</f>
        <v>0.55566</v>
      </c>
      <c r="K123" s="31">
        <f>Capex!$G$26*Locations!$H$9*12*K9/Lakh</f>
        <v>0.5834430000000002</v>
      </c>
      <c r="L123" s="31">
        <f>Capex!$G$26*Locations!$H$9*12*L9/Lakh</f>
        <v>0.6126151500000001</v>
      </c>
      <c r="M123" s="31">
        <f>Capex!$G$26*Locations!$H$9*12*M9/Lakh</f>
        <v>0.6432459075000002</v>
      </c>
      <c r="N123" s="31">
        <f>Capex!$G$26*Locations!$H$9*12*N9/Lakh</f>
        <v>0.6754082028750003</v>
      </c>
      <c r="O123" s="31">
        <f>Capex!$G$26*Locations!$H$9*12*O9/Lakh</f>
        <v>0.7091786130187502</v>
      </c>
      <c r="P123" s="31">
        <f>Capex!$G$26*Locations!$H$9*12*P9/Lakh</f>
        <v>0.7446375436696877</v>
      </c>
    </row>
    <row r="124" spans="2:16">
      <c r="B124" s="20" t="s">
        <v>566</v>
      </c>
      <c r="C124" s="2" t="s">
        <v>321</v>
      </c>
      <c r="F124" s="93"/>
      <c r="G124" s="31">
        <f>Inputs!$D$20*Capex!$G$26*Locations!$H$20*G9/Lakh</f>
        <v>0.0</v>
      </c>
      <c r="H124" s="31">
        <f>Inputs!$D$20*Capex!$G$26*Locations!$H$20*H9/Lakh</f>
        <v>0.0</v>
      </c>
      <c r="I124" s="31">
        <f>Inputs!$D$20*Capex!$G$26*Locations!$H$20*I9/Lakh</f>
        <v>0.0</v>
      </c>
      <c r="J124" s="31">
        <f>Inputs!$D$20*Capex!$G$26*Locations!$H$20*J9/Lakh</f>
        <v>0.0</v>
      </c>
      <c r="K124" s="31">
        <f>Inputs!$D$20*Capex!$G$26*Locations!$H$20*K9/Lakh</f>
        <v>0.0</v>
      </c>
      <c r="L124" s="31">
        <f>Inputs!$D$20*Capex!$G$26*Locations!$H$20*L9/Lakh</f>
        <v>0.0</v>
      </c>
      <c r="M124" s="31">
        <f>Inputs!$D$20*Capex!$G$26*Locations!$H$20*M9/Lakh</f>
        <v>0.0</v>
      </c>
      <c r="N124" s="31">
        <f>Inputs!$D$20*Capex!$G$26*Locations!$H$20*N9/Lakh</f>
        <v>0.0</v>
      </c>
      <c r="O124" s="31">
        <f>Inputs!$D$20*Capex!$G$26*Locations!$H$20*O9/Lakh</f>
        <v>0.0</v>
      </c>
      <c r="P124" s="31">
        <f>Inputs!$D$20*Capex!$G$26*Locations!$H$20*P9/Lakh</f>
        <v>0.0</v>
      </c>
    </row>
    <row r="125" spans="2:16">
      <c r="B125" s="20" t="s">
        <v>567</v>
      </c>
      <c r="C125" s="2" t="s">
        <v>321</v>
      </c>
      <c r="F125" s="93"/>
      <c r="G125" s="31">
        <f>Capex!$G$26*Inputs!$D$98*12*Inputs!$D$99*(1+Inputs!$D$100)^(G6-1)/Lakh</f>
        <v>5.7</v>
      </c>
      <c r="H125" s="31">
        <f>Capex!$G$26*Inputs!$D$98*12*Inputs!$D$99*(1+Inputs!$D$100)^(H6-1)/Lakh</f>
        <v>5.928</v>
      </c>
      <c r="I125" s="31">
        <f>Capex!$G$26*Inputs!$D$98*12*Inputs!$D$99*(1+Inputs!$D$100)^(I6-1)/Lakh</f>
        <v>6.165120000000001</v>
      </c>
      <c r="J125" s="31">
        <f>Capex!$G$26*Inputs!$D$98*12*Inputs!$D$99*(1+Inputs!$D$100)^(J6-1)/Lakh</f>
        <v>6.411724800000001</v>
      </c>
      <c r="K125" s="31">
        <f>Capex!$G$26*Inputs!$D$98*12*Inputs!$D$99*(1+Inputs!$D$100)^(K6-1)/Lakh</f>
        <v>6.668193792000001</v>
      </c>
      <c r="L125" s="31">
        <f>Capex!$G$26*Inputs!$D$98*12*Inputs!$D$99*(1+Inputs!$D$100)^(L6-1)/Lakh</f>
        <v>6.934921543680001</v>
      </c>
      <c r="M125" s="31">
        <f>Capex!$G$26*Inputs!$D$98*12*Inputs!$D$99*(1+Inputs!$D$100)^(M6-1)/Lakh</f>
        <v>7.212318405427202</v>
      </c>
      <c r="N125" s="31">
        <f>Capex!$G$26*Inputs!$D$98*12*Inputs!$D$99*(1+Inputs!$D$100)^(N6-1)/Lakh</f>
        <v>7.500811141644289</v>
      </c>
      <c r="O125" s="31">
        <f>Capex!$G$26*Inputs!$D$98*12*Inputs!$D$99*(1+Inputs!$D$100)^(O6-1)/Lakh</f>
        <v>7.8008435873100614</v>
      </c>
      <c r="P125" s="31">
        <f>Capex!$G$26*Inputs!$D$98*12*Inputs!$D$99*(1+Inputs!$D$100)^(P6-1)/Lakh</f>
        <v>8.112877330802466</v>
      </c>
    </row>
    <row r="126" spans="2:16">
      <c r="B126" s="20" t="s">
        <v>568</v>
      </c>
      <c r="C126" s="2" t="s">
        <v>321</v>
      </c>
      <c r="F126" s="93"/>
      <c r="G126" s="31">
        <f>Inputs!$D$101*12*G9/Lakh</f>
        <v>1.8</v>
      </c>
      <c r="H126" s="31">
        <f>Inputs!$D$101*12*H9/Lakh</f>
        <v>1.89</v>
      </c>
      <c r="I126" s="31">
        <f>Inputs!$D$101*12*I9/Lakh</f>
        <v>1.9845</v>
      </c>
      <c r="J126" s="31">
        <f>Inputs!$D$101*12*J9/Lakh</f>
        <v>2.0837250000000003</v>
      </c>
      <c r="K126" s="31">
        <f>Inputs!$D$101*12*K9/Lakh</f>
        <v>2.1879112500000004</v>
      </c>
      <c r="L126" s="31">
        <f>Inputs!$D$101*12*L9/Lakh</f>
        <v>2.2973068125000005</v>
      </c>
      <c r="M126" s="31">
        <f>Inputs!$D$101*12*M9/Lakh</f>
        <v>2.4121721531250007</v>
      </c>
      <c r="N126" s="31">
        <f>Inputs!$D$101*12*N9/Lakh</f>
        <v>2.5327807607812507</v>
      </c>
      <c r="O126" s="31">
        <f>Inputs!$D$101*12*O9/Lakh</f>
        <v>2.659419798820313</v>
      </c>
      <c r="P126" s="31">
        <f>Inputs!$D$101*12*P9/Lakh</f>
        <v>2.792390788761329</v>
      </c>
    </row>
    <row r="127" spans="2:16">
      <c r="B127" s="20" t="s">
        <v>478</v>
      </c>
      <c r="C127" s="2" t="s">
        <v>321</v>
      </c>
      <c r="F127" s="93"/>
      <c r="G127" s="31">
        <f>G98*IF(G6=1,Inputs!$D$102,Inputs!$D$103)</f>
        <v>5.2416</v>
      </c>
      <c r="H127" s="31">
        <f>H98*IF(H6=1,Inputs!$D$102,Inputs!$D$103)</f>
        <v>4.3182719999999994</v>
      </c>
      <c r="I127" s="31">
        <f>I98*IF(I6=1,Inputs!$D$102,Inputs!$D$103)</f>
        <v>5.334336</v>
      </c>
      <c r="J127" s="31">
        <f>J98*IF(J6=1,Inputs!$D$102,Inputs!$D$103)</f>
        <v>5.74107912</v>
      </c>
      <c r="K127" s="31">
        <f>K98*IF(K6=1,Inputs!$D$102,Inputs!$D$103)</f>
        <v>6.178836402899999</v>
      </c>
      <c r="L127" s="31">
        <f>L98*IF(L6=1,Inputs!$D$102,Inputs!$D$103)</f>
        <v>6.649972678621125</v>
      </c>
      <c r="M127" s="31">
        <f>M98*IF(M6=1,Inputs!$D$102,Inputs!$D$103)</f>
        <v>7.157033095365986</v>
      </c>
      <c r="N127" s="31">
        <f>N98*IF(N6=1,Inputs!$D$102,Inputs!$D$103)</f>
        <v>7.702756868887643</v>
      </c>
      <c r="O127" s="31">
        <f>O98*IF(O6=1,Inputs!$D$102,Inputs!$D$103)</f>
        <v>8.290092080140322</v>
      </c>
      <c r="P127" s="31">
        <f>P98*IF(P6=1,Inputs!$D$102,Inputs!$D$103)</f>
        <v>8.922211601251023</v>
      </c>
    </row>
    <row r="128" spans="2:16">
      <c r="B128" s="20" t="s">
        <v>181</v>
      </c>
      <c r="C128" s="2" t="s">
        <v>321</v>
      </c>
      <c r="F128" s="93"/>
      <c r="G128" s="31">
        <f>G98*Inputs!$D$104</f>
        <v>1.5724799999999999</v>
      </c>
      <c r="H128" s="31">
        <f>H98*Inputs!$D$104</f>
        <v>2.1591359999999997</v>
      </c>
      <c r="I128" s="31">
        <f>I98*Inputs!$D$104</f>
        <v>2.667168</v>
      </c>
      <c r="J128" s="31">
        <f>J98*Inputs!$D$104</f>
        <v>2.87053956</v>
      </c>
      <c r="K128" s="31">
        <f>K98*Inputs!$D$104</f>
        <v>3.0894182014499996</v>
      </c>
      <c r="L128" s="31">
        <f>L98*Inputs!$D$104</f>
        <v>3.3249863393105623</v>
      </c>
      <c r="M128" s="31">
        <f>M98*Inputs!$D$104</f>
        <v>3.578516547682993</v>
      </c>
      <c r="N128" s="31">
        <f>N98*Inputs!$D$104</f>
        <v>3.8513784344438213</v>
      </c>
      <c r="O128" s="31">
        <f>O98*Inputs!$D$104</f>
        <v>4.145046040070161</v>
      </c>
      <c r="P128" s="31">
        <f>P98*Inputs!$D$104</f>
        <v>4.4611058006255115</v>
      </c>
    </row>
    <row r="129" spans="2:16">
      <c r="B129" s="20" t="s">
        <v>569</v>
      </c>
      <c r="C129" s="2" t="s">
        <v>321</v>
      </c>
      <c r="F129" s="93"/>
      <c r="G129" s="31">
        <f>(Inputs!$D$105+Inputs!$D$21*Inputs!$D$106)*G9/Lakh</f>
        <v>0.6</v>
      </c>
      <c r="H129" s="31">
        <f>(Inputs!$D$105+Inputs!$D$21*Inputs!$D$106)*H9/Lakh</f>
        <v>0.63</v>
      </c>
      <c r="I129" s="31">
        <f>(Inputs!$D$105+Inputs!$D$21*Inputs!$D$106)*I9/Lakh</f>
        <v>0.6615</v>
      </c>
      <c r="J129" s="31">
        <f>(Inputs!$D$105+Inputs!$D$21*Inputs!$D$106)*J9/Lakh</f>
        <v>0.6945750000000002</v>
      </c>
      <c r="K129" s="31">
        <f>(Inputs!$D$105+Inputs!$D$21*Inputs!$D$106)*K9/Lakh</f>
        <v>0.7293037500000001</v>
      </c>
      <c r="L129" s="31">
        <f>(Inputs!$D$105+Inputs!$D$21*Inputs!$D$106)*L9/Lakh</f>
        <v>0.7657689375000002</v>
      </c>
      <c r="M129" s="31">
        <f>(Inputs!$D$105+Inputs!$D$21*Inputs!$D$106)*M9/Lakh</f>
        <v>0.8040573843750003</v>
      </c>
      <c r="N129" s="31">
        <f>(Inputs!$D$105+Inputs!$D$21*Inputs!$D$106)*N9/Lakh</f>
        <v>0.8442602535937502</v>
      </c>
      <c r="O129" s="31">
        <f>(Inputs!$D$105+Inputs!$D$21*Inputs!$D$106)*O9/Lakh</f>
        <v>0.8864732662734378</v>
      </c>
      <c r="P129" s="31">
        <f>(Inputs!$D$105+Inputs!$D$21*Inputs!$D$106)*P9/Lakh</f>
        <v>0.9307969295871098</v>
      </c>
    </row>
    <row r="130" spans="2:16">
      <c r="B130" s="20" t="s">
        <v>570</v>
      </c>
      <c r="C130" s="2" t="s">
        <v>321</v>
      </c>
      <c r="F130" s="93"/>
      <c r="G130" s="31">
        <f>G91*Locations!$H$16*Inputs!$D$107</f>
        <v>3.9311999999999996</v>
      </c>
      <c r="H130" s="31">
        <f>H91*Locations!$H$16*Inputs!$D$107</f>
        <v>5.3978399999999995</v>
      </c>
      <c r="I130" s="31">
        <f>I91*Locations!$H$16*Inputs!$D$107</f>
        <v>6.6679200000000005</v>
      </c>
      <c r="J130" s="31">
        <f>J91*Locations!$H$16*Inputs!$D$107</f>
        <v>7.176348900000001</v>
      </c>
      <c r="K130" s="31">
        <f>K91*Locations!$H$16*Inputs!$D$107</f>
        <v>7.723545503624999</v>
      </c>
      <c r="L130" s="31">
        <f>L91*Locations!$H$16*Inputs!$D$107</f>
        <v>8.312465848276407</v>
      </c>
      <c r="M130" s="31">
        <f>M91*Locations!$H$16*Inputs!$D$107</f>
        <v>8.946291369207483</v>
      </c>
      <c r="N130" s="31">
        <f>N91*Locations!$H$16*Inputs!$D$107</f>
        <v>9.628446086109554</v>
      </c>
      <c r="O130" s="31">
        <f>O91*Locations!$H$16*Inputs!$D$107</f>
        <v>10.362615100175404</v>
      </c>
      <c r="P130" s="31">
        <f>P91*Locations!$H$16*Inputs!$D$107</f>
        <v>11.15276450156378</v>
      </c>
    </row>
    <row r="131" spans="2:16">
      <c r="B131" s="20" t="s">
        <v>571</v>
      </c>
      <c r="C131" s="2" t="s">
        <v>321</v>
      </c>
      <c r="F131" s="93"/>
      <c r="G131" s="31">
        <f>G91*(1-Locations!$H$16)*Inputs!$D$108</f>
        <v>0.6237503999999999</v>
      </c>
      <c r="H131" s="31">
        <f>H91*(1-Locations!$H$16)*Inputs!$D$108</f>
        <v>0.8564572799999999</v>
      </c>
      <c r="I131" s="31">
        <f>I91*(1-Locations!$H$16)*Inputs!$D$108</f>
        <v>1.0579766400000001</v>
      </c>
      <c r="J131" s="31">
        <f>J91*(1-Locations!$H$16)*Inputs!$D$108</f>
        <v>1.1386473588000001</v>
      </c>
      <c r="K131" s="31">
        <f>K91*(1-Locations!$H$16)*Inputs!$D$108</f>
        <v>1.2254692199085</v>
      </c>
      <c r="L131" s="31">
        <f>L91*(1-Locations!$H$16)*Inputs!$D$108</f>
        <v>1.318911247926523</v>
      </c>
      <c r="M131" s="31">
        <f>M91*(1-Locations!$H$16)*Inputs!$D$108</f>
        <v>1.4194782305809206</v>
      </c>
      <c r="N131" s="31">
        <f>N91*(1-Locations!$H$16)*Inputs!$D$108</f>
        <v>1.5277134456627157</v>
      </c>
      <c r="O131" s="31">
        <f>O91*(1-Locations!$H$16)*Inputs!$D$108</f>
        <v>1.6442015958944975</v>
      </c>
      <c r="P131" s="31">
        <f>P91*(1-Locations!$H$16)*Inputs!$D$108</f>
        <v>1.7695719675814532</v>
      </c>
    </row>
    <row r="132" spans="2:16">
      <c r="B132" s="20" t="s">
        <v>572</v>
      </c>
      <c r="C132" s="2" t="s">
        <v>321</v>
      </c>
      <c r="F132" s="93"/>
      <c r="G132" s="31">
        <f>Inputs!$D$109*G9/Lakh</f>
        <v>3.0</v>
      </c>
      <c r="H132" s="31">
        <f>Inputs!$D$109*H9/Lakh</f>
        <v>3.15</v>
      </c>
      <c r="I132" s="31">
        <f>Inputs!$D$109*I9/Lakh</f>
        <v>3.3075</v>
      </c>
      <c r="J132" s="31">
        <f>Inputs!$D$109*J9/Lakh</f>
        <v>3.4728750000000006</v>
      </c>
      <c r="K132" s="31">
        <f>Inputs!$D$109*K9/Lakh</f>
        <v>3.6465187500000007</v>
      </c>
      <c r="L132" s="31">
        <f>Inputs!$D$109*L9/Lakh</f>
        <v>3.828844687500001</v>
      </c>
      <c r="M132" s="31">
        <f>Inputs!$D$109*M9/Lakh</f>
        <v>4.020286921875002</v>
      </c>
      <c r="N132" s="31">
        <f>Inputs!$D$109*N9/Lakh</f>
        <v>4.221301267968752</v>
      </c>
      <c r="O132" s="31">
        <f>Inputs!$D$109*O9/Lakh</f>
        <v>4.432366331367189</v>
      </c>
      <c r="P132" s="31">
        <f>Inputs!$D$109*P9/Lakh</f>
        <v>4.653984647935548</v>
      </c>
    </row>
    <row r="133" spans="2:16">
      <c r="B133" s="20" t="s">
        <v>191</v>
      </c>
      <c r="C133" s="2" t="s">
        <v>321</v>
      </c>
      <c r="F133" s="93"/>
      <c r="G133" s="31">
        <f>G98*Inputs!$D$110</f>
        <v>1.04832</v>
      </c>
      <c r="H133" s="31">
        <f>H98*Inputs!$D$110</f>
        <v>1.439424</v>
      </c>
      <c r="I133" s="31">
        <f>I98*Inputs!$D$110</f>
        <v>1.7781120000000001</v>
      </c>
      <c r="J133" s="31">
        <f>J98*Inputs!$D$110</f>
        <v>1.9136930400000003</v>
      </c>
      <c r="K133" s="31">
        <f>K98*Inputs!$D$110</f>
        <v>2.0596121343</v>
      </c>
      <c r="L133" s="31">
        <f>L98*Inputs!$D$110</f>
        <v>2.216657559540375</v>
      </c>
      <c r="M133" s="31">
        <f>M98*Inputs!$D$110</f>
        <v>2.385677698455329</v>
      </c>
      <c r="N133" s="31">
        <f>N98*Inputs!$D$110</f>
        <v>2.5675856229625476</v>
      </c>
      <c r="O133" s="31">
        <f>O98*Inputs!$D$110</f>
        <v>2.763364026713441</v>
      </c>
      <c r="P133" s="31">
        <f>P98*Inputs!$D$110</f>
        <v>2.9740705337503415</v>
      </c>
    </row>
    <row r="134" spans="2:16">
      <c r="B134" s="20" t="s">
        <v>573</v>
      </c>
      <c r="C134" s="2" t="s">
        <v>321</v>
      </c>
      <c r="F134" s="93"/>
      <c r="G134" s="31">
        <f>G97*Inputs!$D$71</f>
        <v>0.0</v>
      </c>
      <c r="H134" s="31">
        <f>H97*Inputs!$D$71</f>
        <v>0.0</v>
      </c>
      <c r="I134" s="31">
        <f>I97*Inputs!$D$71</f>
        <v>0.0</v>
      </c>
      <c r="J134" s="31">
        <f>J97*Inputs!$D$71</f>
        <v>0.0</v>
      </c>
      <c r="K134" s="31">
        <f>K97*Inputs!$D$71</f>
        <v>0.0</v>
      </c>
      <c r="L134" s="31">
        <f>L97*Inputs!$D$71</f>
        <v>0.0</v>
      </c>
      <c r="M134" s="31">
        <f>M97*Inputs!$D$71</f>
        <v>0.0</v>
      </c>
      <c r="N134" s="31">
        <f>N97*Inputs!$D$71</f>
        <v>0.0</v>
      </c>
      <c r="O134" s="31">
        <f>O97*Inputs!$D$71</f>
        <v>0.0</v>
      </c>
      <c r="P134" s="31">
        <f>P97*Inputs!$D$71</f>
        <v>0.0</v>
      </c>
    </row>
    <row r="135" spans="2:16">
      <c r="B135" s="20" t="s">
        <v>448</v>
      </c>
      <c r="C135" s="2" t="s">
        <v>321</v>
      </c>
      <c r="F135" s="31">
        <f>((1-Inputs!$D$20)*Inputs!$D$116*Capex!$G$26*Locations!$H$8*Scenarios!$D$38+Inputs!$D$117*Inputs!$D$95*(1+Inputs!$D$92)*Scenarios!$D$41+Inputs!$D$118+Inputs!$D$119+Inputs!$D$120+Inputs!$D$121)/Lakh</f>
        <v>11.0545</v>
      </c>
      <c r="G135" s="93"/>
      <c r="H135" s="93"/>
      <c r="I135" s="93"/>
      <c r="J135" s="93"/>
      <c r="K135" s="93"/>
      <c r="L135" s="93"/>
      <c r="M135" s="93"/>
      <c r="N135" s="93"/>
      <c r="O135" s="93"/>
      <c r="P135" s="93"/>
    </row>
    <row r="136" spans="2:16">
      <c r="B136" s="10" t="s">
        <v>574</v>
      </c>
      <c r="C136" s="79" t="s">
        <v>321</v>
      </c>
      <c r="D136" s="11"/>
      <c r="E136" s="11"/>
      <c r="F136" s="87">
        <f>SUM(F121:F135)</f>
        <v>11.0545</v>
      </c>
      <c r="G136" s="87">
        <f>SUM(G121:G135)</f>
        <v>76.8513504</v>
      </c>
      <c r="H136" s="87">
        <f>SUM(H121:H135)</f>
        <v>82.94144928</v>
      </c>
      <c r="I136" s="87">
        <f>SUM(I121:I135)</f>
        <v>90.92041824</v>
      </c>
      <c r="J136" s="87">
        <f>SUM(J121:J135)</f>
        <v>97.8458451324</v>
      </c>
      <c r="K136" s="87">
        <f>SUM(K121:K135)</f>
        <v>105.34369141157072</v>
      </c>
      <c r="L136" s="87">
        <f>SUM(L121:L135)</f>
        <v>113.4643877786908</v>
      </c>
      <c r="M136" s="87">
        <f>SUM(M121:M135)</f>
        <v>122.26302649396547</v>
      </c>
      <c r="N136" s="87">
        <f>SUM(N121:N135)</f>
        <v>131.79980799147248</v>
      </c>
      <c r="O136" s="87">
        <f>SUM(O121:O135)</f>
        <v>142.14053145046105</v>
      </c>
      <c r="P136" s="87">
        <f>SUM(P121:P135)</f>
        <v>153.35713373842702</v>
      </c>
    </row>
    <row r="137" spans="2:16">
      <c r="B137" s="90" t="s">
        <v>575</v>
      </c>
      <c r="C137" s="2" t="s">
        <v>321</v>
      </c>
      <c r="F137" s="99"/>
      <c r="G137" s="94">
        <f>G121+G122+G123+G124+G125+G126+G129+G132</f>
        <v>64.434</v>
      </c>
      <c r="H137" s="94">
        <f>H121+H122+H123+H124+H125+H126+H129+H132</f>
        <v>68.77032</v>
      </c>
      <c r="I137" s="94">
        <f>I121+I122+I123+I124+I125+I126+I129+I132</f>
        <v>73.4149056</v>
      </c>
      <c r="J137" s="94">
        <f>J121+J122+J123+J124+J125+J126+J129+J132</f>
        <v>79.00553715360002</v>
      </c>
      <c r="K137" s="94">
        <f>K121+K122+K123+K124+K125+K126+K129+K132</f>
        <v>85.0668099493872</v>
      </c>
      <c r="L137" s="94">
        <f>L121+L122+L123+L124+L125+L126+L129+L132</f>
        <v>91.6413941050158</v>
      </c>
      <c r="M137" s="94">
        <f>M121+M122+M123+M124+M125+M126+M129+M132</f>
        <v>98.77602955267275</v>
      </c>
      <c r="N137" s="94">
        <f>N121+N122+N123+N124+N125+N126+N129+N132</f>
        <v>106.52192753340618</v>
      </c>
      <c r="O137" s="94">
        <f>O121+O122+O123+O124+O125+O126+O129+O132</f>
        <v>114.93521260746722</v>
      </c>
      <c r="P137" s="94">
        <f>P121+P122+P123+P124+P125+P126+P129+P132</f>
        <v>124.0774093336549</v>
      </c>
    </row>
    <row r="138" spans="2:16">
      <c r="B138" s="90" t="s">
        <v>576</v>
      </c>
      <c r="C138" s="2" t="s">
        <v>321</v>
      </c>
      <c r="F138" s="99"/>
      <c r="G138" s="94">
        <f>G114+G127+G128+G130+G131+G133+G134</f>
        <v>44.12004703127272</v>
      </c>
      <c r="H138" s="94">
        <f>H114+H127+H128+H130+H131+H133+H134</f>
        <v>57.47017370254546</v>
      </c>
      <c r="I138" s="94">
        <f>I114+I127+I128+I130+I131+I133+I134</f>
        <v>70.71241148808727</v>
      </c>
      <c r="J138" s="94">
        <f>J114+J127+J128+J130+J131+J133+J134</f>
        <v>75.80808176407456</v>
      </c>
      <c r="K138" s="94">
        <f>K114+K127+K128+K130+K131+K133+K134</f>
        <v>81.27646302566215</v>
      </c>
      <c r="L138" s="94">
        <f>L114+L127+L128+L130+L131+L133+L134</f>
        <v>87.14463561105252</v>
      </c>
      <c r="M138" s="94">
        <f>M114+M127+M128+M130+M131+M133+M134</f>
        <v>93.44166937980323</v>
      </c>
      <c r="N138" s="94">
        <f>N114+N127+N128+N130+N131+N133+N134</f>
        <v>100.19877202523298</v>
      </c>
      <c r="O138" s="94">
        <f>O114+O127+O128+O130+O131+O133+O134</f>
        <v>107.45102572255526</v>
      </c>
      <c r="P138" s="94">
        <f>P114+P127+P128+P130+P131+P133+P134</f>
        <v>115.23452260430466</v>
      </c>
    </row>
    <row r="139" spans="2:16">
      <c r="B139" s="90" t="s">
        <v>577</v>
      </c>
      <c r="C139" s="2" t="s">
        <v>102</v>
      </c>
      <c r="F139" s="91"/>
      <c r="G139" s="92">
        <f>IF(G98&gt;0,1-G138/G98,0)</f>
        <v>0.5791356930014431</v>
      </c>
      <c r="H139" s="92">
        <f>IF(H98&gt;0,1-H138/H98,0)</f>
        <v>0.6007418682574039</v>
      </c>
      <c r="I139" s="92">
        <f>IF(I98&gt;0,1-I138/I98,0)</f>
        <v>0.6023174496989657</v>
      </c>
      <c r="J139" s="92">
        <f>IF(J98&gt;0,1-J138/J98,0)</f>
        <v>0.6038649868106614</v>
      </c>
      <c r="K139" s="92">
        <f>IF(K98&gt;0,1-K138/K98,0)</f>
        <v>0.605379762178933</v>
      </c>
      <c r="L139" s="92">
        <f>IF(L98&gt;0,1-L138/L98,0)</f>
        <v>0.6068646903262676</v>
      </c>
      <c r="M139" s="92">
        <f>IF(M98&gt;0,1-M138/M98,0)</f>
        <v>0.6083223251812072</v>
      </c>
      <c r="N139" s="92">
        <f>IF(N98&gt;0,1-N138/N98,0)</f>
        <v>0.609754895302689</v>
      </c>
      <c r="O139" s="92">
        <f>IF(O98&gt;0,1-O138/O98,0)</f>
        <v>0.6111586288168112</v>
      </c>
      <c r="P139" s="92">
        <f>IF(P98&gt;0,1-P138/P98,0)</f>
        <v>0.6125360131960541</v>
      </c>
    </row>
    <row r="140" spans="2:16">
      <c r="B140" s="16" t="s">
        <v>578</v>
      </c>
      <c r="C140" s="2" t="s">
        <v>84</v>
      </c>
      <c r="F140" s="97"/>
      <c r="G140" s="59">
        <f>IF(AND(G98&gt;0,G139&gt;0),G137/G139/G98*G85,0)</f>
        <v>96.57890601905501</v>
      </c>
      <c r="H140" s="59">
        <f>IF(AND(H98&gt;0,H139&gt;0),H137/H139/H98*H85,0)</f>
        <v>94.63926662243112</v>
      </c>
      <c r="I140" s="59">
        <f>IF(AND(I98&gt;0,I139&gt;0),I137/I139/I98*I85,0)</f>
        <v>95.96828243166125</v>
      </c>
      <c r="J140" s="59">
        <f>IF(AND(J98&gt;0,J139&gt;0),J137/J139/J98*J85,0)</f>
        <v>98.1063921113244</v>
      </c>
      <c r="K140" s="59">
        <f>IF(AND(K98&gt;0,K139&gt;0),K137/K139/K98*K85,0)</f>
        <v>100.35120067092969</v>
      </c>
      <c r="L140" s="59">
        <f>IF(AND(L98&gt;0,L139&gt;0),L137/L139/L98*L85,0)</f>
        <v>102.70718909476835</v>
      </c>
      <c r="M140" s="59">
        <f>IF(AND(M98&gt;0,M139&gt;0),M137/M139/M98*M85,0)</f>
        <v>105.1791208453505</v>
      </c>
      <c r="N140" s="59">
        <f>IF(AND(N98&gt;0,N139&gt;0),N137/N139/N98*N85,0)</f>
        <v>107.77205107252908</v>
      </c>
      <c r="O140" s="59">
        <f>IF(AND(O98&gt;0,O139&gt;0),O137/O139/O98*O85,0)</f>
        <v>110.49236872122735</v>
      </c>
      <c r="P140" s="59">
        <f>IF(AND(P98&gt;0,P139&gt;0),P137/P139/P98*P85,0)</f>
        <v>113.34566604755192</v>
      </c>
    </row>
    <row r="141" spans="2:16">
      <c r="B141" s="90" t="s">
        <v>579</v>
      </c>
      <c r="C141" s="2" t="s">
        <v>102</v>
      </c>
      <c r="F141" s="91"/>
      <c r="G141" s="92">
        <f>IF(G85&gt;0,1-G140/G85,0)</f>
        <v>-0.0613066595500551</v>
      </c>
      <c r="H141" s="92">
        <f>IF(H85&gt;0,1-H140/H85,0)</f>
        <v>0.20471204518965447</v>
      </c>
      <c r="I141" s="92">
        <f>IF(I85&gt;0,1-I140/I85,0)</f>
        <v>0.3145122683452768</v>
      </c>
      <c r="J141" s="92">
        <f>IF(J85&gt;0,1-J140/J85,0)</f>
        <v>0.31633176229042237</v>
      </c>
      <c r="K141" s="92">
        <f>IF(K85&gt;0,1-K140/K85,0)</f>
        <v>0.31774487518701655</v>
      </c>
      <c r="L141" s="92">
        <f>IF(L85&gt;0,1-L140/L85,0)</f>
        <v>0.3187583193526775</v>
      </c>
      <c r="M141" s="92">
        <f>IF(M85&gt;0,1-M140/M85,0)</f>
        <v>0.3193779117905955</v>
      </c>
      <c r="N141" s="92">
        <f>IF(N85&gt;0,1-N140/N85,0)</f>
        <v>0.3196086469648093</v>
      </c>
      <c r="O141" s="92">
        <f>IF(O85&gt;0,1-O140/O85,0)</f>
        <v>0.31944840527952256</v>
      </c>
      <c r="P141" s="92">
        <f>IF(P85&gt;0,1-P140/P85,0)</f>
        <v>0.3189016543344251</v>
      </c>
    </row>
    <row r="143" spans="2:16" ht="18" customHeight="1">
      <c r="B143" s="4" t="s">
        <v>580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2:16">
      <c r="B144" s="20" t="s">
        <v>581</v>
      </c>
      <c r="C144" s="2" t="s">
        <v>321</v>
      </c>
      <c r="F144" s="31">
        <f>Capex!$D$44</f>
        <v>66.465</v>
      </c>
      <c r="G144" s="93"/>
      <c r="H144" s="93"/>
      <c r="I144" s="93"/>
      <c r="J144" s="93"/>
      <c r="K144" s="93"/>
      <c r="L144" s="93"/>
      <c r="M144" s="93"/>
      <c r="N144" s="93"/>
      <c r="O144" s="93"/>
      <c r="P144" s="93"/>
    </row>
    <row r="145" spans="2:16">
      <c r="B145" s="20" t="s">
        <v>206</v>
      </c>
      <c r="C145" s="2" t="s">
        <v>321</v>
      </c>
      <c r="F145" s="93"/>
      <c r="G145" s="31">
        <f>G98*Inputs!$D$124</f>
        <v>1.5724799999999999</v>
      </c>
      <c r="H145" s="31">
        <f>H98*Inputs!$D$124</f>
        <v>2.1591359999999997</v>
      </c>
      <c r="I145" s="31">
        <f>I98*Inputs!$D$124</f>
        <v>2.667168</v>
      </c>
      <c r="J145" s="31">
        <f>J98*Inputs!$D$124</f>
        <v>2.87053956</v>
      </c>
      <c r="K145" s="31">
        <f>K98*Inputs!$D$124</f>
        <v>3.0894182014499996</v>
      </c>
      <c r="L145" s="31">
        <f>L98*Inputs!$D$124</f>
        <v>3.3249863393105623</v>
      </c>
      <c r="M145" s="31">
        <f>M98*Inputs!$D$124</f>
        <v>3.578516547682993</v>
      </c>
      <c r="N145" s="31">
        <f>N98*Inputs!$D$124</f>
        <v>3.8513784344438213</v>
      </c>
      <c r="O145" s="31">
        <f>O98*Inputs!$D$124</f>
        <v>4.145046040070161</v>
      </c>
      <c r="P145" s="31">
        <f>P98*Inputs!$D$124</f>
        <v>4.4611058006255115</v>
      </c>
    </row>
    <row r="146" spans="2:16">
      <c r="B146" s="20" t="s">
        <v>582</v>
      </c>
      <c r="C146" s="2" t="s">
        <v>321</v>
      </c>
      <c r="F146" s="93"/>
      <c r="G146" s="31">
        <f>IF(G6=Inputs!$D$125,Inputs!$D$126*(Capex!$D$37+Capex!$D$39)*G8,0)</f>
        <v>0.0</v>
      </c>
      <c r="H146" s="31">
        <f>IF(H6=Inputs!$D$125,Inputs!$D$126*(Capex!$D$37+Capex!$D$39)*H8,0)</f>
        <v>0.0</v>
      </c>
      <c r="I146" s="31">
        <f>IF(I6=Inputs!$D$125,Inputs!$D$126*(Capex!$D$37+Capex!$D$39)*I8,0)</f>
        <v>0.0</v>
      </c>
      <c r="J146" s="31">
        <f>IF(J6=Inputs!$D$125,Inputs!$D$126*(Capex!$D$37+Capex!$D$39)*J8,0)</f>
        <v>0.0</v>
      </c>
      <c r="K146" s="31">
        <f>IF(K6=Inputs!$D$125,Inputs!$D$126*(Capex!$D$37+Capex!$D$39)*K8,0)</f>
        <v>0.0</v>
      </c>
      <c r="L146" s="31">
        <f>IF(L6=Inputs!$D$125,Inputs!$D$126*(Capex!$D$37+Capex!$D$39)*L8,0)</f>
        <v>11.49132011835938</v>
      </c>
      <c r="M146" s="31">
        <f>IF(M6=Inputs!$D$125,Inputs!$D$126*(Capex!$D$37+Capex!$D$39)*M8,0)</f>
        <v>0.0</v>
      </c>
      <c r="N146" s="31">
        <f>IF(N6=Inputs!$D$125,Inputs!$D$126*(Capex!$D$37+Capex!$D$39)*N8,0)</f>
        <v>0.0</v>
      </c>
      <c r="O146" s="31">
        <f>IF(O6=Inputs!$D$125,Inputs!$D$126*(Capex!$D$37+Capex!$D$39)*O8,0)</f>
        <v>0.0</v>
      </c>
      <c r="P146" s="31">
        <f>IF(P6=Inputs!$D$125,Inputs!$D$126*(Capex!$D$37+Capex!$D$39)*P8,0)</f>
        <v>0.0</v>
      </c>
    </row>
    <row r="147" spans="2:16">
      <c r="B147" s="20" t="s">
        <v>583</v>
      </c>
      <c r="C147" s="2" t="s">
        <v>321</v>
      </c>
      <c r="F147" s="93"/>
      <c r="G147" s="72">
        <f>G145+G146</f>
        <v>1.5724799999999999</v>
      </c>
      <c r="H147" s="72">
        <f>H145+H146</f>
        <v>2.1591359999999997</v>
      </c>
      <c r="I147" s="72">
        <f>I145+I146</f>
        <v>2.667168</v>
      </c>
      <c r="J147" s="72">
        <f>J145+J146</f>
        <v>2.87053956</v>
      </c>
      <c r="K147" s="72">
        <f>K145+K146</f>
        <v>3.0894182014499996</v>
      </c>
      <c r="L147" s="72">
        <f>L145+L146</f>
        <v>14.816306457669942</v>
      </c>
      <c r="M147" s="72">
        <f>M145+M146</f>
        <v>3.578516547682993</v>
      </c>
      <c r="N147" s="72">
        <f>N145+N146</f>
        <v>3.8513784344438213</v>
      </c>
      <c r="O147" s="72">
        <f>O145+O146</f>
        <v>4.145046040070161</v>
      </c>
      <c r="P147" s="72">
        <f>P145+P146</f>
        <v>4.4611058006255115</v>
      </c>
    </row>
    <row r="148" spans="2:16">
      <c r="B148" s="10" t="s">
        <v>584</v>
      </c>
      <c r="C148" s="79" t="s">
        <v>321</v>
      </c>
      <c r="D148" s="11"/>
      <c r="E148" s="11"/>
      <c r="F148" s="87">
        <f>SUM(F144,F147)</f>
        <v>66.465</v>
      </c>
      <c r="G148" s="87">
        <f>SUM(G144,G147)</f>
        <v>1.5724799999999999</v>
      </c>
      <c r="H148" s="87">
        <f>SUM(H144,H147)</f>
        <v>2.1591359999999997</v>
      </c>
      <c r="I148" s="87">
        <f>SUM(I144,I147)</f>
        <v>2.667168</v>
      </c>
      <c r="J148" s="87">
        <f>SUM(J144,J147)</f>
        <v>2.87053956</v>
      </c>
      <c r="K148" s="87">
        <f>SUM(K144,K147)</f>
        <v>3.0894182014499996</v>
      </c>
      <c r="L148" s="87">
        <f>SUM(L144,L147)</f>
        <v>14.816306457669942</v>
      </c>
      <c r="M148" s="87">
        <f>SUM(M144,M147)</f>
        <v>3.578516547682993</v>
      </c>
      <c r="N148" s="87">
        <f>SUM(N144,N147)</f>
        <v>3.8513784344438213</v>
      </c>
      <c r="O148" s="87">
        <f>SUM(O144,O147)</f>
        <v>4.145046040070161</v>
      </c>
      <c r="P148" s="87">
        <f>SUM(P144,P147)</f>
        <v>4.4611058006255115</v>
      </c>
    </row>
    <row r="149" spans="2:16">
      <c r="B149" s="41" t="s">
        <v>585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</row>
    <row r="150" spans="2:16">
      <c r="B150" s="20" t="s">
        <v>401</v>
      </c>
      <c r="C150" s="2" t="s">
        <v>321</v>
      </c>
      <c r="F150" s="93"/>
      <c r="G150" s="31">
        <f>IF(AND(Capex!$E$37&gt;0,G6&lt;=Capex!$E$37),Capex!$D$37/Capex!$E$37,0)</f>
        <v>3.033333333333333</v>
      </c>
      <c r="H150" s="31">
        <f>IF(AND(Capex!$E$37&gt;0,H6&lt;=Capex!$E$37),Capex!$D$37/Capex!$E$37,0)</f>
        <v>3.033333333333333</v>
      </c>
      <c r="I150" s="31">
        <f>IF(AND(Capex!$E$37&gt;0,I6&lt;=Capex!$E$37),Capex!$D$37/Capex!$E$37,0)</f>
        <v>3.033333333333333</v>
      </c>
      <c r="J150" s="31">
        <f>IF(AND(Capex!$E$37&gt;0,J6&lt;=Capex!$E$37),Capex!$D$37/Capex!$E$37,0)</f>
        <v>3.033333333333333</v>
      </c>
      <c r="K150" s="31">
        <f>IF(AND(Capex!$E$37&gt;0,K6&lt;=Capex!$E$37),Capex!$D$37/Capex!$E$37,0)</f>
        <v>3.033333333333333</v>
      </c>
      <c r="L150" s="31">
        <f>IF(AND(Capex!$E$37&gt;0,L6&lt;=Capex!$E$37),Capex!$D$37/Capex!$E$37,0)</f>
        <v>3.033333333333333</v>
      </c>
      <c r="M150" s="31">
        <f>IF(AND(Capex!$E$37&gt;0,M6&lt;=Capex!$E$37),Capex!$D$37/Capex!$E$37,0)</f>
        <v>3.033333333333333</v>
      </c>
      <c r="N150" s="31">
        <f>IF(AND(Capex!$E$37&gt;0,N6&lt;=Capex!$E$37),Capex!$D$37/Capex!$E$37,0)</f>
        <v>3.033333333333333</v>
      </c>
      <c r="O150" s="31">
        <f>IF(AND(Capex!$E$37&gt;0,O6&lt;=Capex!$E$37),Capex!$D$37/Capex!$E$37,0)</f>
        <v>3.033333333333333</v>
      </c>
      <c r="P150" s="31">
        <f>IF(AND(Capex!$E$37&gt;0,P6&lt;=Capex!$E$37),Capex!$D$37/Capex!$E$37,0)</f>
        <v>0.0</v>
      </c>
    </row>
    <row r="151" spans="2:16">
      <c r="B151" s="20" t="s">
        <v>405</v>
      </c>
      <c r="C151" s="2" t="s">
        <v>321</v>
      </c>
      <c r="F151" s="93"/>
      <c r="G151" s="31">
        <f>IF(AND(Capex!$E$38&gt;0,G6&lt;=Capex!$E$38),Capex!$D$38/Capex!$E$38,0)</f>
        <v>3.5700000000000003</v>
      </c>
      <c r="H151" s="31">
        <f>IF(AND(Capex!$E$38&gt;0,H6&lt;=Capex!$E$38),Capex!$D$38/Capex!$E$38,0)</f>
        <v>3.5700000000000003</v>
      </c>
      <c r="I151" s="31">
        <f>IF(AND(Capex!$E$38&gt;0,I6&lt;=Capex!$E$38),Capex!$D$38/Capex!$E$38,0)</f>
        <v>3.5700000000000003</v>
      </c>
      <c r="J151" s="31">
        <f>IF(AND(Capex!$E$38&gt;0,J6&lt;=Capex!$E$38),Capex!$D$38/Capex!$E$38,0)</f>
        <v>3.5700000000000003</v>
      </c>
      <c r="K151" s="31">
        <f>IF(AND(Capex!$E$38&gt;0,K6&lt;=Capex!$E$38),Capex!$D$38/Capex!$E$38,0)</f>
        <v>3.5700000000000003</v>
      </c>
      <c r="L151" s="31">
        <f>IF(AND(Capex!$E$38&gt;0,L6&lt;=Capex!$E$38),Capex!$D$38/Capex!$E$38,0)</f>
        <v>3.5700000000000003</v>
      </c>
      <c r="M151" s="31">
        <f>IF(AND(Capex!$E$38&gt;0,M6&lt;=Capex!$E$38),Capex!$D$38/Capex!$E$38,0)</f>
        <v>3.5700000000000003</v>
      </c>
      <c r="N151" s="31">
        <f>IF(AND(Capex!$E$38&gt;0,N6&lt;=Capex!$E$38),Capex!$D$38/Capex!$E$38,0)</f>
        <v>3.5700000000000003</v>
      </c>
      <c r="O151" s="31">
        <f>IF(AND(Capex!$E$38&gt;0,O6&lt;=Capex!$E$38),Capex!$D$38/Capex!$E$38,0)</f>
        <v>0.0</v>
      </c>
      <c r="P151" s="31">
        <f>IF(AND(Capex!$E$38&gt;0,P6&lt;=Capex!$E$38),Capex!$D$38/Capex!$E$38,0)</f>
        <v>0.0</v>
      </c>
    </row>
    <row r="152" spans="2:16">
      <c r="B152" s="20" t="s">
        <v>416</v>
      </c>
      <c r="C152" s="2" t="s">
        <v>321</v>
      </c>
      <c r="F152" s="93"/>
      <c r="G152" s="31">
        <f>IF(AND(Capex!$E$39&gt;0,G6&lt;=Capex!$E$39),Capex!$D$39/Capex!$E$39,0)</f>
        <v>1.089375</v>
      </c>
      <c r="H152" s="31">
        <f>IF(AND(Capex!$E$39&gt;0,H6&lt;=Capex!$E$39),Capex!$D$39/Capex!$E$39,0)</f>
        <v>1.089375</v>
      </c>
      <c r="I152" s="31">
        <f>IF(AND(Capex!$E$39&gt;0,I6&lt;=Capex!$E$39),Capex!$D$39/Capex!$E$39,0)</f>
        <v>1.089375</v>
      </c>
      <c r="J152" s="31">
        <f>IF(AND(Capex!$E$39&gt;0,J6&lt;=Capex!$E$39),Capex!$D$39/Capex!$E$39,0)</f>
        <v>1.089375</v>
      </c>
      <c r="K152" s="31">
        <f>IF(AND(Capex!$E$39&gt;0,K6&lt;=Capex!$E$39),Capex!$D$39/Capex!$E$39,0)</f>
        <v>1.089375</v>
      </c>
      <c r="L152" s="31">
        <f>IF(AND(Capex!$E$39&gt;0,L6&lt;=Capex!$E$39),Capex!$D$39/Capex!$E$39,0)</f>
        <v>1.089375</v>
      </c>
      <c r="M152" s="31">
        <f>IF(AND(Capex!$E$39&gt;0,M6&lt;=Capex!$E$39),Capex!$D$39/Capex!$E$39,0)</f>
        <v>1.089375</v>
      </c>
      <c r="N152" s="31">
        <f>IF(AND(Capex!$E$39&gt;0,N6&lt;=Capex!$E$39),Capex!$D$39/Capex!$E$39,0)</f>
        <v>1.089375</v>
      </c>
      <c r="O152" s="31">
        <f>IF(AND(Capex!$E$39&gt;0,O6&lt;=Capex!$E$39),Capex!$D$39/Capex!$E$39,0)</f>
        <v>0.0</v>
      </c>
      <c r="P152" s="31">
        <f>IF(AND(Capex!$E$39&gt;0,P6&lt;=Capex!$E$39),Capex!$D$39/Capex!$E$39,0)</f>
        <v>0.0</v>
      </c>
    </row>
    <row r="153" spans="2:16">
      <c r="B153" s="20" t="s">
        <v>420</v>
      </c>
      <c r="C153" s="2" t="s">
        <v>321</v>
      </c>
      <c r="F153" s="93"/>
      <c r="G153" s="31">
        <f>IF(AND(Capex!$E$40&gt;0,G6&lt;=Capex!$E$40),Capex!$D$40/Capex!$E$40,0)</f>
        <v>0.4725</v>
      </c>
      <c r="H153" s="31">
        <f>IF(AND(Capex!$E$40&gt;0,H6&lt;=Capex!$E$40),Capex!$D$40/Capex!$E$40,0)</f>
        <v>0.4725</v>
      </c>
      <c r="I153" s="31">
        <f>IF(AND(Capex!$E$40&gt;0,I6&lt;=Capex!$E$40),Capex!$D$40/Capex!$E$40,0)</f>
        <v>0.4725</v>
      </c>
      <c r="J153" s="31">
        <f>IF(AND(Capex!$E$40&gt;0,J6&lt;=Capex!$E$40),Capex!$D$40/Capex!$E$40,0)</f>
        <v>0.4725</v>
      </c>
      <c r="K153" s="31">
        <f>IF(AND(Capex!$E$40&gt;0,K6&lt;=Capex!$E$40),Capex!$D$40/Capex!$E$40,0)</f>
        <v>0.0</v>
      </c>
      <c r="L153" s="31">
        <f>IF(AND(Capex!$E$40&gt;0,L6&lt;=Capex!$E$40),Capex!$D$40/Capex!$E$40,0)</f>
        <v>0.0</v>
      </c>
      <c r="M153" s="31">
        <f>IF(AND(Capex!$E$40&gt;0,M6&lt;=Capex!$E$40),Capex!$D$40/Capex!$E$40,0)</f>
        <v>0.0</v>
      </c>
      <c r="N153" s="31">
        <f>IF(AND(Capex!$E$40&gt;0,N6&lt;=Capex!$E$40),Capex!$D$40/Capex!$E$40,0)</f>
        <v>0.0</v>
      </c>
      <c r="O153" s="31">
        <f>IF(AND(Capex!$E$40&gt;0,O6&lt;=Capex!$E$40),Capex!$D$40/Capex!$E$40,0)</f>
        <v>0.0</v>
      </c>
      <c r="P153" s="31">
        <f>IF(AND(Capex!$E$40&gt;0,P6&lt;=Capex!$E$40),Capex!$D$40/Capex!$E$40,0)</f>
        <v>0.0</v>
      </c>
    </row>
    <row r="154" spans="2:16">
      <c r="B154" s="20" t="s">
        <v>423</v>
      </c>
      <c r="C154" s="2" t="s">
        <v>321</v>
      </c>
      <c r="F154" s="93"/>
      <c r="G154" s="31">
        <f>IF(AND(Capex!$E$41&gt;0,G6&lt;=Capex!$E$41),Capex!$D$41/Capex!$E$41,0)</f>
        <v>0.0</v>
      </c>
      <c r="H154" s="31">
        <f>IF(AND(Capex!$E$41&gt;0,H6&lt;=Capex!$E$41),Capex!$D$41/Capex!$E$41,0)</f>
        <v>0.0</v>
      </c>
      <c r="I154" s="31">
        <f>IF(AND(Capex!$E$41&gt;0,I6&lt;=Capex!$E$41),Capex!$D$41/Capex!$E$41,0)</f>
        <v>0.0</v>
      </c>
      <c r="J154" s="31">
        <f>IF(AND(Capex!$E$41&gt;0,J6&lt;=Capex!$E$41),Capex!$D$41/Capex!$E$41,0)</f>
        <v>0.0</v>
      </c>
      <c r="K154" s="31">
        <f>IF(AND(Capex!$E$41&gt;0,K6&lt;=Capex!$E$41),Capex!$D$41/Capex!$E$41,0)</f>
        <v>0.0</v>
      </c>
      <c r="L154" s="31">
        <f>IF(AND(Capex!$E$41&gt;0,L6&lt;=Capex!$E$41),Capex!$D$41/Capex!$E$41,0)</f>
        <v>0.0</v>
      </c>
      <c r="M154" s="31">
        <f>IF(AND(Capex!$E$41&gt;0,M6&lt;=Capex!$E$41),Capex!$D$41/Capex!$E$41,0)</f>
        <v>0.0</v>
      </c>
      <c r="N154" s="31">
        <f>IF(AND(Capex!$E$41&gt;0,N6&lt;=Capex!$E$41),Capex!$D$41/Capex!$E$41,0)</f>
        <v>0.0</v>
      </c>
      <c r="O154" s="31">
        <f>IF(AND(Capex!$E$41&gt;0,O6&lt;=Capex!$E$41),Capex!$D$41/Capex!$E$41,0)</f>
        <v>0.0</v>
      </c>
      <c r="P154" s="31">
        <f>IF(AND(Capex!$E$41&gt;0,P6&lt;=Capex!$E$41),Capex!$D$41/Capex!$E$41,0)</f>
        <v>0.0</v>
      </c>
    </row>
    <row r="155" spans="2:16">
      <c r="B155" s="20" t="s">
        <v>442</v>
      </c>
      <c r="C155" s="2" t="s">
        <v>321</v>
      </c>
      <c r="F155" s="93"/>
      <c r="G155" s="31">
        <f>IF(AND(Capex!$E$42&gt;0,G6&lt;=Capex!$E$42),Capex!$D$42/Capex!$E$42,0)</f>
        <v>0.0</v>
      </c>
      <c r="H155" s="31">
        <f>IF(AND(Capex!$E$42&gt;0,H6&lt;=Capex!$E$42),Capex!$D$42/Capex!$E$42,0)</f>
        <v>0.0</v>
      </c>
      <c r="I155" s="31">
        <f>IF(AND(Capex!$E$42&gt;0,I6&lt;=Capex!$E$42),Capex!$D$42/Capex!$E$42,0)</f>
        <v>0.0</v>
      </c>
      <c r="J155" s="31">
        <f>IF(AND(Capex!$E$42&gt;0,J6&lt;=Capex!$E$42),Capex!$D$42/Capex!$E$42,0)</f>
        <v>0.0</v>
      </c>
      <c r="K155" s="31">
        <f>IF(AND(Capex!$E$42&gt;0,K6&lt;=Capex!$E$42),Capex!$D$42/Capex!$E$42,0)</f>
        <v>0.0</v>
      </c>
      <c r="L155" s="31">
        <f>IF(AND(Capex!$E$42&gt;0,L6&lt;=Capex!$E$42),Capex!$D$42/Capex!$E$42,0)</f>
        <v>0.0</v>
      </c>
      <c r="M155" s="31">
        <f>IF(AND(Capex!$E$42&gt;0,M6&lt;=Capex!$E$42),Capex!$D$42/Capex!$E$42,0)</f>
        <v>0.0</v>
      </c>
      <c r="N155" s="31">
        <f>IF(AND(Capex!$E$42&gt;0,N6&lt;=Capex!$E$42),Capex!$D$42/Capex!$E$42,0)</f>
        <v>0.0</v>
      </c>
      <c r="O155" s="31">
        <f>IF(AND(Capex!$E$42&gt;0,O6&lt;=Capex!$E$42),Capex!$D$42/Capex!$E$42,0)</f>
        <v>0.0</v>
      </c>
      <c r="P155" s="31">
        <f>IF(AND(Capex!$E$42&gt;0,P6&lt;=Capex!$E$42),Capex!$D$42/Capex!$E$42,0)</f>
        <v>0.0</v>
      </c>
    </row>
    <row r="156" spans="2:16">
      <c r="B156" s="20" t="s">
        <v>586</v>
      </c>
      <c r="C156" s="2" t="s">
        <v>321</v>
      </c>
      <c r="F156" s="93"/>
      <c r="G156" s="31">
        <f>SUMPRODUCT($F$147:$P$147*($F$6:$P$6&lt;G6)*(G6-$F$6:$P$6&lt;=Inputs!$D$130))/Inputs!$D$130</f>
        <v>0.0</v>
      </c>
      <c r="H156" s="31">
        <f>SUMPRODUCT($F$147:$P$147*($F$6:$P$6&lt;H6)*(H6-$F$6:$P$6&lt;=Inputs!$D$130))/Inputs!$D$130</f>
        <v>0.314496</v>
      </c>
      <c r="I156" s="31">
        <f>SUMPRODUCT($F$147:$P$147*($F$6:$P$6&lt;I6)*(I6-$F$6:$P$6&lt;=Inputs!$D$130))/Inputs!$D$130</f>
        <v>0.7463232</v>
      </c>
      <c r="J156" s="31">
        <f>SUMPRODUCT($F$147:$P$147*($F$6:$P$6&lt;J6)*(J6-$F$6:$P$6&lt;=Inputs!$D$130))/Inputs!$D$130</f>
        <v>1.2797568</v>
      </c>
      <c r="K156" s="31">
        <f>SUMPRODUCT($F$147:$P$147*($F$6:$P$6&lt;K6)*(K6-$F$6:$P$6&lt;=Inputs!$D$130))/Inputs!$D$130</f>
        <v>1.853864712</v>
      </c>
      <c r="L156" s="31">
        <f>SUMPRODUCT($F$147:$P$147*($F$6:$P$6&lt;L6)*(L6-$F$6:$P$6&lt;=Inputs!$D$130))/Inputs!$D$130</f>
        <v>2.47174835229</v>
      </c>
      <c r="M156" s="31">
        <f>SUMPRODUCT($F$147:$P$147*($F$6:$P$6&lt;M6)*(M6-$F$6:$P$6&lt;=Inputs!$D$130))/Inputs!$D$130</f>
        <v>5.120513643823989</v>
      </c>
      <c r="N156" s="31">
        <f>SUMPRODUCT($F$147:$P$147*($F$6:$P$6&lt;N6)*(N6-$F$6:$P$6&lt;=Inputs!$D$130))/Inputs!$D$130</f>
        <v>5.404389753360587</v>
      </c>
      <c r="O156" s="31">
        <f>SUMPRODUCT($F$147:$P$147*($F$6:$P$6&lt;O6)*(O6-$F$6:$P$6&lt;=Inputs!$D$130))/Inputs!$D$130</f>
        <v>5.641231840249351</v>
      </c>
      <c r="P156" s="31">
        <f>SUMPRODUCT($F$147:$P$147*($F$6:$P$6&lt;P6)*(P6-$F$6:$P$6&lt;=Inputs!$D$130))/Inputs!$D$130</f>
        <v>5.8961331362633835</v>
      </c>
    </row>
    <row r="157" spans="2:16">
      <c r="B157" s="10" t="s">
        <v>587</v>
      </c>
      <c r="C157" s="79" t="s">
        <v>321</v>
      </c>
      <c r="D157" s="11"/>
      <c r="E157" s="11"/>
      <c r="F157" s="87">
        <f>SUM(F150:F156)</f>
        <v>0.0</v>
      </c>
      <c r="G157" s="87">
        <f>SUM(G150:G156)</f>
        <v>8.165208333333334</v>
      </c>
      <c r="H157" s="87">
        <f>SUM(H150:H156)</f>
        <v>8.479704333333334</v>
      </c>
      <c r="I157" s="87">
        <f>SUM(I150:I156)</f>
        <v>8.911531533333335</v>
      </c>
      <c r="J157" s="87">
        <f>SUM(J150:J156)</f>
        <v>9.444965133333334</v>
      </c>
      <c r="K157" s="87">
        <f>SUM(K150:K156)</f>
        <v>9.546573045333334</v>
      </c>
      <c r="L157" s="87">
        <f>SUM(L150:L156)</f>
        <v>10.164456685623334</v>
      </c>
      <c r="M157" s="87">
        <f>SUM(M150:M156)</f>
        <v>12.813221977157323</v>
      </c>
      <c r="N157" s="87">
        <f>SUM(N150:N156)</f>
        <v>13.097098086693922</v>
      </c>
      <c r="O157" s="87">
        <f>SUM(O150:O156)</f>
        <v>8.674565173582685</v>
      </c>
      <c r="P157" s="87">
        <f>SUM(P150:P156)</f>
        <v>5.8961331362633835</v>
      </c>
    </row>
    <row r="158" spans="2:16">
      <c r="B158" s="20" t="s">
        <v>588</v>
      </c>
      <c r="C158" s="2" t="s">
        <v>321</v>
      </c>
      <c r="F158" s="93"/>
      <c r="G158" s="72">
        <f>F159</f>
        <v>66.465</v>
      </c>
      <c r="H158" s="72">
        <f>G159</f>
        <v>59.87227166666667</v>
      </c>
      <c r="I158" s="72">
        <f>H159</f>
        <v>53.551703333333336</v>
      </c>
      <c r="J158" s="72">
        <f>I159</f>
        <v>47.30733980000001</v>
      </c>
      <c r="K158" s="72">
        <f>J159</f>
        <v>40.73291422666667</v>
      </c>
      <c r="L158" s="72">
        <f>K159</f>
        <v>34.27575938278334</v>
      </c>
      <c r="M158" s="72">
        <f>L159</f>
        <v>38.92760915482995</v>
      </c>
      <c r="N158" s="72">
        <f>M159</f>
        <v>29.692903725355624</v>
      </c>
      <c r="O158" s="72">
        <f>N159</f>
        <v>20.44718407310552</v>
      </c>
      <c r="P158" s="72">
        <f>O159</f>
        <v>15.917664939592996</v>
      </c>
    </row>
    <row r="159" spans="2:16">
      <c r="B159" s="16" t="s">
        <v>589</v>
      </c>
      <c r="C159" s="2" t="s">
        <v>321</v>
      </c>
      <c r="F159" s="88">
        <f>F158+F148-F157</f>
        <v>66.465</v>
      </c>
      <c r="G159" s="88">
        <f>G158+G148-G157</f>
        <v>59.87227166666667</v>
      </c>
      <c r="H159" s="88">
        <f>H158+H148-H157</f>
        <v>53.551703333333336</v>
      </c>
      <c r="I159" s="88">
        <f>I158+I148-I157</f>
        <v>47.30733980000001</v>
      </c>
      <c r="J159" s="88">
        <f>J158+J148-J157</f>
        <v>40.73291422666667</v>
      </c>
      <c r="K159" s="88">
        <f>K158+K148-K157</f>
        <v>34.27575938278334</v>
      </c>
      <c r="L159" s="88">
        <f>L158+L148-L157</f>
        <v>38.92760915482995</v>
      </c>
      <c r="M159" s="88">
        <f>M158+M148-M157</f>
        <v>29.692903725355624</v>
      </c>
      <c r="N159" s="88">
        <f>N158+N148-N157</f>
        <v>20.44718407310552</v>
      </c>
      <c r="O159" s="88">
        <f>O158+O148-O157</f>
        <v>15.917664939592996</v>
      </c>
      <c r="P159" s="88">
        <f>P158+P148-P157</f>
        <v>14.482637603955123</v>
      </c>
    </row>
    <row r="160" spans="2:16">
      <c r="B160" s="41" t="s">
        <v>590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</row>
    <row r="161" spans="2:16">
      <c r="B161" s="20" t="s">
        <v>401</v>
      </c>
      <c r="C161" s="2" t="s">
        <v>321</v>
      </c>
      <c r="F161" s="93"/>
      <c r="G161" s="31">
        <f>Capex!$D$37*Capex!$F$37*(1-Capex!$F$37)^(G6-1)</f>
        <v>2.7300000000000004</v>
      </c>
      <c r="H161" s="31">
        <f>Capex!$D$37*Capex!$F$37*(1-Capex!$F$37)^(H6-1)</f>
        <v>2.4570000000000003</v>
      </c>
      <c r="I161" s="31">
        <f>Capex!$D$37*Capex!$F$37*(1-Capex!$F$37)^(I6-1)</f>
        <v>2.2113000000000005</v>
      </c>
      <c r="J161" s="31">
        <f>Capex!$D$37*Capex!$F$37*(1-Capex!$F$37)^(J6-1)</f>
        <v>1.9901700000000007</v>
      </c>
      <c r="K161" s="31">
        <f>Capex!$D$37*Capex!$F$37*(1-Capex!$F$37)^(K6-1)</f>
        <v>1.7911530000000002</v>
      </c>
      <c r="L161" s="31">
        <f>Capex!$D$37*Capex!$F$37*(1-Capex!$F$37)^(L6-1)</f>
        <v>1.6120377000000004</v>
      </c>
      <c r="M161" s="31">
        <f>Capex!$D$37*Capex!$F$37*(1-Capex!$F$37)^(M6-1)</f>
        <v>1.4508339300000004</v>
      </c>
      <c r="N161" s="31">
        <f>Capex!$D$37*Capex!$F$37*(1-Capex!$F$37)^(N6-1)</f>
        <v>1.3057505370000004</v>
      </c>
      <c r="O161" s="31">
        <f>Capex!$D$37*Capex!$F$37*(1-Capex!$F$37)^(O6-1)</f>
        <v>1.1751754833000005</v>
      </c>
      <c r="P161" s="31">
        <f>Capex!$D$37*Capex!$F$37*(1-Capex!$F$37)^(P6-1)</f>
        <v>1.0576579349700004</v>
      </c>
    </row>
    <row r="162" spans="2:16">
      <c r="B162" s="20" t="s">
        <v>405</v>
      </c>
      <c r="C162" s="2" t="s">
        <v>321</v>
      </c>
      <c r="F162" s="93"/>
      <c r="G162" s="31">
        <f>Capex!$D$38*Capex!$F$38*(1-Capex!$F$38)^(G6-1)</f>
        <v>4.284</v>
      </c>
      <c r="H162" s="31">
        <f>Capex!$D$38*Capex!$F$38*(1-Capex!$F$38)^(H6-1)</f>
        <v>3.6413999999999995</v>
      </c>
      <c r="I162" s="31">
        <f>Capex!$D$38*Capex!$F$38*(1-Capex!$F$38)^(I6-1)</f>
        <v>3.0951899999999997</v>
      </c>
      <c r="J162" s="31">
        <f>Capex!$D$38*Capex!$F$38*(1-Capex!$F$38)^(J6-1)</f>
        <v>2.6309114999999994</v>
      </c>
      <c r="K162" s="31">
        <f>Capex!$D$38*Capex!$F$38*(1-Capex!$F$38)^(K6-1)</f>
        <v>2.2362747749999996</v>
      </c>
      <c r="L162" s="31">
        <f>Capex!$D$38*Capex!$F$38*(1-Capex!$F$38)^(L6-1)</f>
        <v>1.9008335587499996</v>
      </c>
      <c r="M162" s="31">
        <f>Capex!$D$38*Capex!$F$38*(1-Capex!$F$38)^(M6-1)</f>
        <v>1.6157085249374996</v>
      </c>
      <c r="N162" s="31">
        <f>Capex!$D$38*Capex!$F$38*(1-Capex!$F$38)^(N6-1)</f>
        <v>1.3733522461968746</v>
      </c>
      <c r="O162" s="31">
        <f>Capex!$D$38*Capex!$F$38*(1-Capex!$F$38)^(O6-1)</f>
        <v>1.1673494092673435</v>
      </c>
      <c r="P162" s="31">
        <f>Capex!$D$38*Capex!$F$38*(1-Capex!$F$38)^(P6-1)</f>
        <v>0.9922469978772419</v>
      </c>
    </row>
    <row r="163" spans="2:16">
      <c r="B163" s="20" t="s">
        <v>416</v>
      </c>
      <c r="C163" s="2" t="s">
        <v>321</v>
      </c>
      <c r="F163" s="93"/>
      <c r="G163" s="31">
        <f>Capex!$D$39*Capex!$F$39*(1-Capex!$F$39)^(G6-1)</f>
        <v>0.8715</v>
      </c>
      <c r="H163" s="31">
        <f>Capex!$D$39*Capex!$F$39*(1-Capex!$F$39)^(H6-1)</f>
        <v>0.7843500000000001</v>
      </c>
      <c r="I163" s="31">
        <f>Capex!$D$39*Capex!$F$39*(1-Capex!$F$39)^(I6-1)</f>
        <v>0.7059150000000001</v>
      </c>
      <c r="J163" s="31">
        <f>Capex!$D$39*Capex!$F$39*(1-Capex!$F$39)^(J6-1)</f>
        <v>0.6353235000000002</v>
      </c>
      <c r="K163" s="31">
        <f>Capex!$D$39*Capex!$F$39*(1-Capex!$F$39)^(K6-1)</f>
        <v>0.57179115</v>
      </c>
      <c r="L163" s="31">
        <f>Capex!$D$39*Capex!$F$39*(1-Capex!$F$39)^(L6-1)</f>
        <v>0.5146120350000001</v>
      </c>
      <c r="M163" s="31">
        <f>Capex!$D$39*Capex!$F$39*(1-Capex!$F$39)^(M6-1)</f>
        <v>0.4631508315000001</v>
      </c>
      <c r="N163" s="31">
        <f>Capex!$D$39*Capex!$F$39*(1-Capex!$F$39)^(N6-1)</f>
        <v>0.4168357483500001</v>
      </c>
      <c r="O163" s="31">
        <f>Capex!$D$39*Capex!$F$39*(1-Capex!$F$39)^(O6-1)</f>
        <v>0.37515217351500013</v>
      </c>
      <c r="P163" s="31">
        <f>Capex!$D$39*Capex!$F$39*(1-Capex!$F$39)^(P6-1)</f>
        <v>0.3376369561635001</v>
      </c>
    </row>
    <row r="164" spans="2:16">
      <c r="B164" s="20" t="s">
        <v>420</v>
      </c>
      <c r="C164" s="2" t="s">
        <v>321</v>
      </c>
      <c r="F164" s="93"/>
      <c r="G164" s="31">
        <f>Capex!$D$40*Capex!$F$40*(1-Capex!$F$40)^(G6-1)</f>
        <v>0.756</v>
      </c>
      <c r="H164" s="31">
        <f>Capex!$D$40*Capex!$F$40*(1-Capex!$F$40)^(H6-1)</f>
        <v>0.4536</v>
      </c>
      <c r="I164" s="31">
        <f>Capex!$D$40*Capex!$F$40*(1-Capex!$F$40)^(I6-1)</f>
        <v>0.27216</v>
      </c>
      <c r="J164" s="31">
        <f>Capex!$D$40*Capex!$F$40*(1-Capex!$F$40)^(J6-1)</f>
        <v>0.16329599999999997</v>
      </c>
      <c r="K164" s="31">
        <f>Capex!$D$40*Capex!$F$40*(1-Capex!$F$40)^(K6-1)</f>
        <v>0.0979776</v>
      </c>
      <c r="L164" s="31">
        <f>Capex!$D$40*Capex!$F$40*(1-Capex!$F$40)^(L6-1)</f>
        <v>0.05878655999999999</v>
      </c>
      <c r="M164" s="31">
        <f>Capex!$D$40*Capex!$F$40*(1-Capex!$F$40)^(M6-1)</f>
        <v>0.03527193599999999</v>
      </c>
      <c r="N164" s="31">
        <f>Capex!$D$40*Capex!$F$40*(1-Capex!$F$40)^(N6-1)</f>
        <v>0.021163161599999994</v>
      </c>
      <c r="O164" s="31">
        <f>Capex!$D$40*Capex!$F$40*(1-Capex!$F$40)^(O6-1)</f>
        <v>0.012697896959999996</v>
      </c>
      <c r="P164" s="31">
        <f>Capex!$D$40*Capex!$F$40*(1-Capex!$F$40)^(P6-1)</f>
        <v>0.0076187381759999975</v>
      </c>
    </row>
    <row r="165" spans="2:16">
      <c r="B165" s="20" t="s">
        <v>423</v>
      </c>
      <c r="C165" s="2" t="s">
        <v>321</v>
      </c>
      <c r="F165" s="93"/>
      <c r="G165" s="31">
        <f>Capex!$D$41*Capex!$F$41*(1-Capex!$F$41)^(G6-1)</f>
        <v>0.0</v>
      </c>
      <c r="H165" s="31">
        <f>Capex!$D$41*Capex!$F$41*(1-Capex!$F$41)^(H6-1)</f>
        <v>0.0</v>
      </c>
      <c r="I165" s="31">
        <f>Capex!$D$41*Capex!$F$41*(1-Capex!$F$41)^(I6-1)</f>
        <v>0.0</v>
      </c>
      <c r="J165" s="31">
        <f>Capex!$D$41*Capex!$F$41*(1-Capex!$F$41)^(J6-1)</f>
        <v>0.0</v>
      </c>
      <c r="K165" s="31">
        <f>Capex!$D$41*Capex!$F$41*(1-Capex!$F$41)^(K6-1)</f>
        <v>0.0</v>
      </c>
      <c r="L165" s="31">
        <f>Capex!$D$41*Capex!$F$41*(1-Capex!$F$41)^(L6-1)</f>
        <v>0.0</v>
      </c>
      <c r="M165" s="31">
        <f>Capex!$D$41*Capex!$F$41*(1-Capex!$F$41)^(M6-1)</f>
        <v>0.0</v>
      </c>
      <c r="N165" s="31">
        <f>Capex!$D$41*Capex!$F$41*(1-Capex!$F$41)^(N6-1)</f>
        <v>0.0</v>
      </c>
      <c r="O165" s="31">
        <f>Capex!$D$41*Capex!$F$41*(1-Capex!$F$41)^(O6-1)</f>
        <v>0.0</v>
      </c>
      <c r="P165" s="31">
        <f>Capex!$D$41*Capex!$F$41*(1-Capex!$F$41)^(P6-1)</f>
        <v>0.0</v>
      </c>
    </row>
    <row r="166" spans="2:16">
      <c r="B166" s="20" t="s">
        <v>442</v>
      </c>
      <c r="C166" s="2" t="s">
        <v>321</v>
      </c>
      <c r="F166" s="93"/>
      <c r="G166" s="31">
        <f>Capex!$D$42*Capex!$F$42*(1-Capex!$F$42)^(G6-1)</f>
        <v>0.0</v>
      </c>
      <c r="H166" s="31">
        <f>Capex!$D$42*Capex!$F$42*(1-Capex!$F$42)^(H6-1)</f>
        <v>0.0</v>
      </c>
      <c r="I166" s="31">
        <f>Capex!$D$42*Capex!$F$42*(1-Capex!$F$42)^(I6-1)</f>
        <v>0.0</v>
      </c>
      <c r="J166" s="31">
        <f>Capex!$D$42*Capex!$F$42*(1-Capex!$F$42)^(J6-1)</f>
        <v>0.0</v>
      </c>
      <c r="K166" s="31">
        <f>Capex!$D$42*Capex!$F$42*(1-Capex!$F$42)^(K6-1)</f>
        <v>0.0</v>
      </c>
      <c r="L166" s="31">
        <f>Capex!$D$42*Capex!$F$42*(1-Capex!$F$42)^(L6-1)</f>
        <v>0.0</v>
      </c>
      <c r="M166" s="31">
        <f>Capex!$D$42*Capex!$F$42*(1-Capex!$F$42)^(M6-1)</f>
        <v>0.0</v>
      </c>
      <c r="N166" s="31">
        <f>Capex!$D$42*Capex!$F$42*(1-Capex!$F$42)^(N6-1)</f>
        <v>0.0</v>
      </c>
      <c r="O166" s="31">
        <f>Capex!$D$42*Capex!$F$42*(1-Capex!$F$42)^(O6-1)</f>
        <v>0.0</v>
      </c>
      <c r="P166" s="31">
        <f>Capex!$D$42*Capex!$F$42*(1-Capex!$F$42)^(P6-1)</f>
        <v>0.0</v>
      </c>
    </row>
    <row r="167" spans="2:16">
      <c r="B167" s="20" t="s">
        <v>591</v>
      </c>
      <c r="C167" s="2" t="s">
        <v>321</v>
      </c>
      <c r="F167" s="93"/>
      <c r="G167" s="72">
        <f>F170</f>
        <v>0.0</v>
      </c>
      <c r="H167" s="72">
        <f>G170</f>
        <v>1.4545439999999998</v>
      </c>
      <c r="I167" s="72">
        <f>H170</f>
        <v>3.2335632</v>
      </c>
      <c r="J167" s="72">
        <f>I170</f>
        <v>5.21565912</v>
      </c>
      <c r="K167" s="72">
        <f>J170</f>
        <v>7.088559344999999</v>
      </c>
      <c r="L167" s="72">
        <f>K170</f>
        <v>8.882987279591248</v>
      </c>
      <c r="M167" s="72">
        <f>L170</f>
        <v>21.255622660997258</v>
      </c>
      <c r="N167" s="72">
        <f>M170</f>
        <v>21.37740706845444</v>
      </c>
      <c r="O167" s="72">
        <f>N170</f>
        <v>21.733321060046805</v>
      </c>
      <c r="P167" s="72">
        <f>O170</f>
        <v>22.307490488104683</v>
      </c>
    </row>
    <row r="168" spans="2:16">
      <c r="B168" s="20" t="s">
        <v>592</v>
      </c>
      <c r="C168" s="2" t="s">
        <v>321</v>
      </c>
      <c r="F168" s="93"/>
      <c r="G168" s="72">
        <f>G147</f>
        <v>1.5724799999999999</v>
      </c>
      <c r="H168" s="72">
        <f>H147</f>
        <v>2.1591359999999997</v>
      </c>
      <c r="I168" s="72">
        <f>I147</f>
        <v>2.667168</v>
      </c>
      <c r="J168" s="72">
        <f>J147</f>
        <v>2.87053956</v>
      </c>
      <c r="K168" s="72">
        <f>K147</f>
        <v>3.0894182014499996</v>
      </c>
      <c r="L168" s="72">
        <f>L147</f>
        <v>14.816306457669942</v>
      </c>
      <c r="M168" s="72">
        <f>M147</f>
        <v>3.578516547682993</v>
      </c>
      <c r="N168" s="72">
        <f>N147</f>
        <v>3.8513784344438213</v>
      </c>
      <c r="O168" s="72">
        <f>O147</f>
        <v>4.145046040070161</v>
      </c>
      <c r="P168" s="72">
        <f>P147</f>
        <v>4.4611058006255115</v>
      </c>
    </row>
    <row r="169" spans="2:16">
      <c r="B169" s="20" t="s">
        <v>593</v>
      </c>
      <c r="C169" s="2" t="s">
        <v>321</v>
      </c>
      <c r="F169" s="93"/>
      <c r="G169" s="31">
        <f>Inputs!$D$131*(G167+G168/2)</f>
        <v>0.11793599999999999</v>
      </c>
      <c r="H169" s="31">
        <f>Inputs!$D$131*(H167+H168/2)</f>
        <v>0.3801167999999999</v>
      </c>
      <c r="I169" s="31">
        <f>Inputs!$D$131*(I167+I168/2)</f>
        <v>0.68507208</v>
      </c>
      <c r="J169" s="31">
        <f>Inputs!$D$131*(J167+J168/2)</f>
        <v>0.997639335</v>
      </c>
      <c r="K169" s="31">
        <f>Inputs!$D$131*(K167+K168/2)</f>
        <v>1.2949902668587498</v>
      </c>
      <c r="L169" s="31">
        <f>Inputs!$D$131*(L167+L168/2)</f>
        <v>2.4436710762639327</v>
      </c>
      <c r="M169" s="31">
        <f>Inputs!$D$131*(M167+M168/2)</f>
        <v>3.4567321402258133</v>
      </c>
      <c r="N169" s="31">
        <f>Inputs!$D$131*(N167+N168/2)</f>
        <v>3.4954644428514525</v>
      </c>
      <c r="O169" s="31">
        <f>Inputs!$D$131*(O167+O168/2)</f>
        <v>3.570876612012283</v>
      </c>
      <c r="P169" s="31">
        <f>Inputs!$D$131*(P167+P168/2)</f>
        <v>3.680706508262616</v>
      </c>
    </row>
    <row r="170" spans="2:16">
      <c r="B170" s="20" t="s">
        <v>594</v>
      </c>
      <c r="C170" s="2" t="s">
        <v>321</v>
      </c>
      <c r="F170" s="93"/>
      <c r="G170" s="72">
        <f>G167+G168-G169</f>
        <v>1.4545439999999998</v>
      </c>
      <c r="H170" s="72">
        <f>H167+H168-H169</f>
        <v>3.2335632</v>
      </c>
      <c r="I170" s="72">
        <f>I167+I168-I169</f>
        <v>5.21565912</v>
      </c>
      <c r="J170" s="72">
        <f>J167+J168-J169</f>
        <v>7.088559344999999</v>
      </c>
      <c r="K170" s="72">
        <f>K167+K168-K169</f>
        <v>8.882987279591248</v>
      </c>
      <c r="L170" s="72">
        <f>L167+L168-L169</f>
        <v>21.255622660997258</v>
      </c>
      <c r="M170" s="72">
        <f>M167+M168-M169</f>
        <v>21.37740706845444</v>
      </c>
      <c r="N170" s="72">
        <f>N167+N168-N169</f>
        <v>21.733321060046805</v>
      </c>
      <c r="O170" s="72">
        <f>O167+O168-O169</f>
        <v>22.307490488104683</v>
      </c>
      <c r="P170" s="72">
        <f>P167+P168-P169</f>
        <v>23.087889780467577</v>
      </c>
    </row>
    <row r="171" spans="2:16">
      <c r="B171" s="10" t="s">
        <v>595</v>
      </c>
      <c r="C171" s="79" t="s">
        <v>321</v>
      </c>
      <c r="D171" s="11"/>
      <c r="E171" s="11"/>
      <c r="F171" s="87">
        <f>SUM(F161:F166)+F169</f>
        <v>0.0</v>
      </c>
      <c r="G171" s="87">
        <f>SUM(G161:G166)+G169</f>
        <v>8.759436</v>
      </c>
      <c r="H171" s="87">
        <f>SUM(H161:H166)+H169</f>
        <v>7.716466799999999</v>
      </c>
      <c r="I171" s="87">
        <f>SUM(I161:I166)+I169</f>
        <v>6.969637080000001</v>
      </c>
      <c r="J171" s="87">
        <f>SUM(J161:J166)+J169</f>
        <v>6.417340335</v>
      </c>
      <c r="K171" s="87">
        <f>SUM(K161:K166)+K169</f>
        <v>5.9921867918587495</v>
      </c>
      <c r="L171" s="87">
        <f>SUM(L161:L166)+L169</f>
        <v>6.529940930013932</v>
      </c>
      <c r="M171" s="87">
        <f>SUM(M161:M166)+M169</f>
        <v>7.021697362663313</v>
      </c>
      <c r="N171" s="87">
        <f>SUM(N161:N166)+N169</f>
        <v>6.612566135998328</v>
      </c>
      <c r="O171" s="87">
        <f>SUM(O161:O166)+O169</f>
        <v>6.301251575054627</v>
      </c>
      <c r="P171" s="87">
        <f>SUM(P161:P166)+P169</f>
        <v>6.075867135449358</v>
      </c>
    </row>
    <row r="172" spans="2:16">
      <c r="B172" s="20" t="s">
        <v>596</v>
      </c>
      <c r="C172" s="2" t="s">
        <v>321</v>
      </c>
      <c r="F172" s="31">
        <f>SUMPRODUCT(Capex!$D$37:$D$43,(1-Capex!$F$37:$F$43)^F6)+F170</f>
        <v>66.465</v>
      </c>
      <c r="G172" s="31">
        <f>SUMPRODUCT(Capex!$D$37:$D$43,(1-Capex!$F$37:$F$43)^G6)+G170</f>
        <v>59.278044</v>
      </c>
      <c r="H172" s="31">
        <f>SUMPRODUCT(Capex!$D$37:$D$43,(1-Capex!$F$37:$F$43)^H6)+H170</f>
        <v>53.7207132</v>
      </c>
      <c r="I172" s="31">
        <f>SUMPRODUCT(Capex!$D$37:$D$43,(1-Capex!$F$37:$F$43)^I6)+I170</f>
        <v>49.41824412</v>
      </c>
      <c r="J172" s="31">
        <f>SUMPRODUCT(Capex!$D$37:$D$43,(1-Capex!$F$37:$F$43)^J6)+J170</f>
        <v>45.871443345</v>
      </c>
      <c r="K172" s="31">
        <f>SUMPRODUCT(Capex!$D$37:$D$43,(1-Capex!$F$37:$F$43)^K6)+K170</f>
        <v>42.96867475459125</v>
      </c>
      <c r="L172" s="31">
        <f>SUMPRODUCT(Capex!$D$37:$D$43,(1-Capex!$F$37:$F$43)^L6)+L170</f>
        <v>51.25504028224726</v>
      </c>
      <c r="M172" s="31">
        <f>SUMPRODUCT(Capex!$D$37:$D$43,(1-Capex!$F$37:$F$43)^M6)+M170</f>
        <v>47.81185946726694</v>
      </c>
      <c r="N172" s="31">
        <f>SUMPRODUCT(Capex!$D$37:$D$43,(1-Capex!$F$37:$F$43)^N6)+N170</f>
        <v>45.05067176571244</v>
      </c>
      <c r="O172" s="31">
        <f>SUMPRODUCT(Capex!$D$37:$D$43,(1-Capex!$F$37:$F$43)^O6)+O170</f>
        <v>42.89446623072797</v>
      </c>
      <c r="P172" s="31">
        <f>SUMPRODUCT(Capex!$D$37:$D$43,(1-Capex!$F$37:$F$43)^P6)+P170</f>
        <v>41.27970489590412</v>
      </c>
    </row>
    <row r="173" spans="2:16">
      <c r="B173" s="20" t="s">
        <v>597</v>
      </c>
      <c r="C173" s="2" t="s">
        <v>321</v>
      </c>
      <c r="F173" s="72">
        <f>(F159-F172)*TaxRate</f>
        <v>0.0</v>
      </c>
      <c r="G173" s="72">
        <f>(G159-G172)*TaxRate</f>
        <v>0.14955521914666717</v>
      </c>
      <c r="H173" s="72">
        <f>(H159-H172)*TaxRate</f>
        <v>-0.04253640324266571</v>
      </c>
      <c r="I173" s="72">
        <f>(I159-I172)*TaxRate</f>
        <v>-0.5312723992575972</v>
      </c>
      <c r="J173" s="72">
        <f>(J159-J172)*TaxRate</f>
        <v>-1.2932650085021329</v>
      </c>
      <c r="K173" s="72">
        <f>(K159-K172)*TaxRate</f>
        <v>-2.187832940776614</v>
      </c>
      <c r="L173" s="72">
        <f>(L159-L172)*TaxRate</f>
        <v>-3.1025678661483878</v>
      </c>
      <c r="M173" s="72">
        <f>(M159-M172)*TaxRate</f>
        <v>-4.5601787811242405</v>
      </c>
      <c r="N173" s="72">
        <f>(N159-N172)*TaxRate</f>
        <v>-6.192205782475309</v>
      </c>
      <c r="O173" s="72">
        <f>(O159-O172)*TaxRate</f>
        <v>-6.789521348952851</v>
      </c>
      <c r="P173" s="72">
        <f>(P159-P172)*TaxRate</f>
        <v>-6.744285896037724</v>
      </c>
    </row>
    <row r="174" spans="2:16">
      <c r="B174" s="20" t="s">
        <v>598</v>
      </c>
      <c r="C174" s="2" t="s">
        <v>321</v>
      </c>
      <c r="F174" s="72">
        <f>F173</f>
        <v>0.0</v>
      </c>
      <c r="G174" s="72">
        <f>G173-F173</f>
        <v>0.14955521914666717</v>
      </c>
      <c r="H174" s="72">
        <f>H173-G173</f>
        <v>-0.19209162238933286</v>
      </c>
      <c r="I174" s="72">
        <f>I173-H173</f>
        <v>-0.48873599601493145</v>
      </c>
      <c r="J174" s="72">
        <f>J173-I173</f>
        <v>-0.7619926092445357</v>
      </c>
      <c r="K174" s="72">
        <f>K173-J173</f>
        <v>-0.8945679322744813</v>
      </c>
      <c r="L174" s="72">
        <f>L173-K173</f>
        <v>-0.9147349253717736</v>
      </c>
      <c r="M174" s="72">
        <f>M173-L173</f>
        <v>-1.4576109149758527</v>
      </c>
      <c r="N174" s="72">
        <f>N173-M173</f>
        <v>-1.6320270013510685</v>
      </c>
      <c r="O174" s="72">
        <f>O173-N173</f>
        <v>-0.5973155664775422</v>
      </c>
      <c r="P174" s="72">
        <f>P173-O173</f>
        <v>0.04523545291512754</v>
      </c>
    </row>
    <row r="176" spans="2:16" ht="18" customHeight="1">
      <c r="B176" s="4" t="s">
        <v>599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2:16">
      <c r="B177" s="20" t="s">
        <v>488</v>
      </c>
      <c r="C177" s="2" t="s">
        <v>321</v>
      </c>
      <c r="F177" s="72">
        <f>F35</f>
        <v>-11.0545</v>
      </c>
      <c r="G177" s="72">
        <f>G35</f>
        <v>-14.774915364606066</v>
      </c>
      <c r="H177" s="72">
        <f>H35</f>
        <v>6.423781699990107</v>
      </c>
      <c r="I177" s="72">
        <f>I35</f>
        <v>22.93112907015036</v>
      </c>
      <c r="J177" s="72">
        <f>J35</f>
        <v>26.82989534896488</v>
      </c>
      <c r="K177" s="72">
        <f>K35</f>
        <v>31.285620377885692</v>
      </c>
      <c r="L177" s="72">
        <f>L35</f>
        <v>35.547616788245264</v>
      </c>
      <c r="M177" s="72">
        <f>M35</f>
        <v>37.204511358574855</v>
      </c>
      <c r="N177" s="72">
        <f>N35</f>
        <v>42.026673684770934</v>
      </c>
      <c r="O177" s="72">
        <f>O35</f>
        <v>51.91712105426879</v>
      </c>
      <c r="P177" s="72">
        <f>P35</f>
        <v>60.544440314029586</v>
      </c>
    </row>
    <row r="178" spans="2:16">
      <c r="B178" s="20" t="s">
        <v>600</v>
      </c>
      <c r="C178" s="2" t="s">
        <v>321</v>
      </c>
      <c r="F178" s="72">
        <f>F157</f>
        <v>0.0</v>
      </c>
      <c r="G178" s="72">
        <f>G157</f>
        <v>8.165208333333334</v>
      </c>
      <c r="H178" s="72">
        <f>H157</f>
        <v>8.479704333333334</v>
      </c>
      <c r="I178" s="72">
        <f>I157</f>
        <v>8.911531533333335</v>
      </c>
      <c r="J178" s="72">
        <f>J157</f>
        <v>9.444965133333334</v>
      </c>
      <c r="K178" s="72">
        <f>K157</f>
        <v>9.546573045333334</v>
      </c>
      <c r="L178" s="72">
        <f>L157</f>
        <v>10.164456685623334</v>
      </c>
      <c r="M178" s="72">
        <f>M157</f>
        <v>12.813221977157323</v>
      </c>
      <c r="N178" s="72">
        <f>N157</f>
        <v>13.097098086693922</v>
      </c>
      <c r="O178" s="72">
        <f>O157</f>
        <v>8.674565173582685</v>
      </c>
      <c r="P178" s="72">
        <f>P157</f>
        <v>5.8961331362633835</v>
      </c>
    </row>
    <row r="179" spans="2:16">
      <c r="B179" s="20" t="s">
        <v>601</v>
      </c>
      <c r="C179" s="2" t="s">
        <v>321</v>
      </c>
      <c r="F179" s="72">
        <f>-F171</f>
        <v>-0.0</v>
      </c>
      <c r="G179" s="72">
        <f>-G171</f>
        <v>-8.759436</v>
      </c>
      <c r="H179" s="72">
        <f>-H171</f>
        <v>-7.716466799999999</v>
      </c>
      <c r="I179" s="72">
        <f>-I171</f>
        <v>-6.969637080000001</v>
      </c>
      <c r="J179" s="72">
        <f>-J171</f>
        <v>-6.417340335</v>
      </c>
      <c r="K179" s="72">
        <f>-K171</f>
        <v>-5.9921867918587495</v>
      </c>
      <c r="L179" s="72">
        <f>-L171</f>
        <v>-6.529940930013932</v>
      </c>
      <c r="M179" s="72">
        <f>-M171</f>
        <v>-7.021697362663313</v>
      </c>
      <c r="N179" s="72">
        <f>-N171</f>
        <v>-6.612566135998328</v>
      </c>
      <c r="O179" s="72">
        <f>-O171</f>
        <v>-6.301251575054627</v>
      </c>
      <c r="P179" s="72">
        <f>-P171</f>
        <v>-6.075867135449358</v>
      </c>
    </row>
    <row r="180" spans="2:16">
      <c r="B180" s="78" t="s">
        <v>602</v>
      </c>
      <c r="C180" s="79" t="s">
        <v>321</v>
      </c>
      <c r="D180" s="11"/>
      <c r="E180" s="11"/>
      <c r="F180" s="100">
        <f>SUM(F177:F179)</f>
        <v>-11.0545</v>
      </c>
      <c r="G180" s="100">
        <f>SUM(G177:G179)</f>
        <v>-15.369143031272733</v>
      </c>
      <c r="H180" s="100">
        <f>SUM(H177:H179)</f>
        <v>7.187019233323442</v>
      </c>
      <c r="I180" s="100">
        <f>SUM(I177:I179)</f>
        <v>24.873023523483692</v>
      </c>
      <c r="J180" s="100">
        <f>SUM(J177:J179)</f>
        <v>29.85752014729821</v>
      </c>
      <c r="K180" s="100">
        <f>SUM(K177:K179)</f>
        <v>34.840006631360275</v>
      </c>
      <c r="L180" s="100">
        <f>SUM(L177:L179)</f>
        <v>39.182132543854664</v>
      </c>
      <c r="M180" s="100">
        <f>SUM(M177:M179)</f>
        <v>42.996035973068864</v>
      </c>
      <c r="N180" s="100">
        <f>SUM(N177:N179)</f>
        <v>48.51120563546653</v>
      </c>
      <c r="O180" s="100">
        <f>SUM(O177:O179)</f>
        <v>54.29043465279685</v>
      </c>
      <c r="P180" s="100">
        <f>SUM(P177:P179)</f>
        <v>60.364706314843616</v>
      </c>
    </row>
    <row r="181" spans="2:16">
      <c r="B181" s="20" t="s">
        <v>603</v>
      </c>
      <c r="C181" s="2" t="s">
        <v>321</v>
      </c>
      <c r="F181" s="93"/>
      <c r="G181" s="72">
        <f>F184</f>
        <v>11.0545</v>
      </c>
      <c r="H181" s="72">
        <f>G184</f>
        <v>26.423643031272732</v>
      </c>
      <c r="I181" s="72">
        <f>H184</f>
        <v>19.236623797949292</v>
      </c>
      <c r="J181" s="72">
        <f>I184</f>
        <v>0.0</v>
      </c>
      <c r="K181" s="72">
        <f>J184</f>
        <v>0.0</v>
      </c>
      <c r="L181" s="72">
        <f>K184</f>
        <v>0.0</v>
      </c>
      <c r="M181" s="72">
        <f>L184</f>
        <v>0.0</v>
      </c>
      <c r="N181" s="72">
        <f>M184</f>
        <v>0.0</v>
      </c>
      <c r="O181" s="72">
        <f>N184</f>
        <v>0.0</v>
      </c>
      <c r="P181" s="72">
        <f>O184</f>
        <v>0.0</v>
      </c>
    </row>
    <row r="182" spans="2:16">
      <c r="B182" s="20" t="s">
        <v>604</v>
      </c>
      <c r="C182" s="2" t="s">
        <v>321</v>
      </c>
      <c r="F182" s="72">
        <f>MAX(0,-F180)</f>
        <v>11.0545</v>
      </c>
      <c r="G182" s="72">
        <f>MAX(0,-G180)</f>
        <v>15.369143031272733</v>
      </c>
      <c r="H182" s="72">
        <f>MAX(0,-H180)</f>
        <v>0.0</v>
      </c>
      <c r="I182" s="72">
        <f>MAX(0,-I180)</f>
        <v>0.0</v>
      </c>
      <c r="J182" s="72">
        <f>MAX(0,-J180)</f>
        <v>0.0</v>
      </c>
      <c r="K182" s="72">
        <f>MAX(0,-K180)</f>
        <v>0.0</v>
      </c>
      <c r="L182" s="72">
        <f>MAX(0,-L180)</f>
        <v>0.0</v>
      </c>
      <c r="M182" s="72">
        <f>MAX(0,-M180)</f>
        <v>0.0</v>
      </c>
      <c r="N182" s="72">
        <f>MAX(0,-N180)</f>
        <v>0.0</v>
      </c>
      <c r="O182" s="72">
        <f>MAX(0,-O180)</f>
        <v>0.0</v>
      </c>
      <c r="P182" s="72">
        <f>MAX(0,-P180)</f>
        <v>0.0</v>
      </c>
    </row>
    <row r="183" spans="2:16">
      <c r="B183" s="20" t="s">
        <v>605</v>
      </c>
      <c r="C183" s="2" t="s">
        <v>321</v>
      </c>
      <c r="F183" s="72">
        <f>MIN(N(F181),MAX(0,F180))</f>
        <v>0.0</v>
      </c>
      <c r="G183" s="72">
        <f>MIN(N(G181),MAX(0,G180))</f>
        <v>0.0</v>
      </c>
      <c r="H183" s="72">
        <f>MIN(N(H181),MAX(0,H180))</f>
        <v>7.187019233323442</v>
      </c>
      <c r="I183" s="72">
        <f>MIN(N(I181),MAX(0,I180))</f>
        <v>19.236623797949292</v>
      </c>
      <c r="J183" s="72">
        <f>MIN(N(J181),MAX(0,J180))</f>
        <v>0.0</v>
      </c>
      <c r="K183" s="72">
        <f>MIN(N(K181),MAX(0,K180))</f>
        <v>0.0</v>
      </c>
      <c r="L183" s="72">
        <f>MIN(N(L181),MAX(0,L180))</f>
        <v>0.0</v>
      </c>
      <c r="M183" s="72">
        <f>MIN(N(M181),MAX(0,M180))</f>
        <v>0.0</v>
      </c>
      <c r="N183" s="72">
        <f>MIN(N(N181),MAX(0,N180))</f>
        <v>0.0</v>
      </c>
      <c r="O183" s="72">
        <f>MIN(N(O181),MAX(0,O180))</f>
        <v>0.0</v>
      </c>
      <c r="P183" s="72">
        <f>MIN(N(P181),MAX(0,P180))</f>
        <v>0.0</v>
      </c>
    </row>
    <row r="184" spans="2:16">
      <c r="B184" s="20" t="s">
        <v>606</v>
      </c>
      <c r="C184" s="2" t="s">
        <v>321</v>
      </c>
      <c r="F184" s="72">
        <f>F181+F182-F183</f>
        <v>11.0545</v>
      </c>
      <c r="G184" s="72">
        <f>G181+G182-G183</f>
        <v>26.423643031272732</v>
      </c>
      <c r="H184" s="72">
        <f>H181+H182-H183</f>
        <v>19.236623797949292</v>
      </c>
      <c r="I184" s="72">
        <f>I181+I182-I183</f>
        <v>0.0</v>
      </c>
      <c r="J184" s="72">
        <f>J181+J182-J183</f>
        <v>0.0</v>
      </c>
      <c r="K184" s="72">
        <f>K181+K182-K183</f>
        <v>0.0</v>
      </c>
      <c r="L184" s="72">
        <f>L181+L182-L183</f>
        <v>0.0</v>
      </c>
      <c r="M184" s="72">
        <f>M181+M182-M183</f>
        <v>0.0</v>
      </c>
      <c r="N184" s="72">
        <f>N181+N182-N183</f>
        <v>0.0</v>
      </c>
      <c r="O184" s="72">
        <f>O181+O182-O183</f>
        <v>0.0</v>
      </c>
      <c r="P184" s="72">
        <f>P181+P182-P183</f>
        <v>0.0</v>
      </c>
    </row>
    <row r="185" spans="2:16">
      <c r="B185" s="10" t="s">
        <v>607</v>
      </c>
      <c r="C185" s="79" t="s">
        <v>321</v>
      </c>
      <c r="D185" s="11"/>
      <c r="E185" s="11"/>
      <c r="F185" s="87">
        <f>MAX(0,F180)-F183</f>
        <v>0.0</v>
      </c>
      <c r="G185" s="87">
        <f>MAX(0,G180)-G183</f>
        <v>0.0</v>
      </c>
      <c r="H185" s="87">
        <f>MAX(0,H180)-H183</f>
        <v>0.0</v>
      </c>
      <c r="I185" s="87">
        <f>MAX(0,I180)-I183</f>
        <v>5.6363997255344</v>
      </c>
      <c r="J185" s="87">
        <f>MAX(0,J180)-J183</f>
        <v>29.85752014729821</v>
      </c>
      <c r="K185" s="87">
        <f>MAX(0,K180)-K183</f>
        <v>34.840006631360275</v>
      </c>
      <c r="L185" s="87">
        <f>MAX(0,L180)-L183</f>
        <v>39.182132543854664</v>
      </c>
      <c r="M185" s="87">
        <f>MAX(0,M180)-M183</f>
        <v>42.996035973068864</v>
      </c>
      <c r="N185" s="87">
        <f>MAX(0,N180)-N183</f>
        <v>48.51120563546653</v>
      </c>
      <c r="O185" s="87">
        <f>MAX(0,O180)-O183</f>
        <v>54.29043465279685</v>
      </c>
      <c r="P185" s="87">
        <f>MAX(0,P180)-P183</f>
        <v>60.364706314843616</v>
      </c>
    </row>
    <row r="186" spans="2:16">
      <c r="B186" s="20" t="s">
        <v>489</v>
      </c>
      <c r="C186" s="2" t="s">
        <v>321</v>
      </c>
      <c r="F186" s="72">
        <f>F185*TaxRate</f>
        <v>0.0</v>
      </c>
      <c r="G186" s="72">
        <f>G185*TaxRate</f>
        <v>0.0</v>
      </c>
      <c r="H186" s="72">
        <f>H185*TaxRate</f>
        <v>0.0</v>
      </c>
      <c r="I186" s="72">
        <f>I185*TaxRate</f>
        <v>1.4185690829224977</v>
      </c>
      <c r="J186" s="72">
        <f>J185*TaxRate</f>
        <v>7.514540670672014</v>
      </c>
      <c r="K186" s="72">
        <f>K185*TaxRate</f>
        <v>8.768532868980754</v>
      </c>
      <c r="L186" s="72">
        <f>L185*TaxRate</f>
        <v>9.861359118637342</v>
      </c>
      <c r="M186" s="72">
        <f>M185*TaxRate</f>
        <v>10.821242333701973</v>
      </c>
      <c r="N186" s="72">
        <f>N185*TaxRate</f>
        <v>12.209300234334217</v>
      </c>
      <c r="O186" s="72">
        <f>O185*TaxRate</f>
        <v>13.66381659341591</v>
      </c>
      <c r="P186" s="72">
        <f>P185*TaxRate</f>
        <v>15.192589285319842</v>
      </c>
    </row>
    <row r="187" spans="2:16">
      <c r="B187" s="16" t="s">
        <v>608</v>
      </c>
      <c r="C187" s="2" t="s">
        <v>321</v>
      </c>
      <c r="F187" s="88">
        <f>F186+F174</f>
        <v>0.0</v>
      </c>
      <c r="G187" s="88">
        <f>G186+G174</f>
        <v>0.14955521914666717</v>
      </c>
      <c r="H187" s="88">
        <f>H186+H174</f>
        <v>-0.19209162238933286</v>
      </c>
      <c r="I187" s="88">
        <f>I186+I174</f>
        <v>0.9298330869075663</v>
      </c>
      <c r="J187" s="88">
        <f>J186+J174</f>
        <v>6.752548061427478</v>
      </c>
      <c r="K187" s="88">
        <f>K186+K174</f>
        <v>7.873964936706273</v>
      </c>
      <c r="L187" s="88">
        <f>L186+L174</f>
        <v>8.946624193265569</v>
      </c>
      <c r="M187" s="88">
        <f>M186+M174</f>
        <v>9.36363141872612</v>
      </c>
      <c r="N187" s="88">
        <f>N186+N174</f>
        <v>10.57727323298315</v>
      </c>
      <c r="O187" s="88">
        <f>O186+O174</f>
        <v>13.066501026938369</v>
      </c>
      <c r="P187" s="88">
        <f>P186+P174</f>
        <v>15.23782473823497</v>
      </c>
    </row>
    <row r="189" spans="2:16" ht="18" customHeight="1">
      <c r="B189" s="4" t="s">
        <v>609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2:16">
      <c r="B190" s="20" t="s">
        <v>512</v>
      </c>
      <c r="C190" s="2" t="s">
        <v>321</v>
      </c>
      <c r="F190" s="31">
        <f>F91*Locations!$H$16*Inputs!$D$134/365+F97*Inputs!$D$135/365</f>
        <v>0.0</v>
      </c>
      <c r="G190" s="31">
        <f>G91*Locations!$H$16*Inputs!$D$134/365+G97*Inputs!$D$135/365</f>
        <v>0.30157150684931505</v>
      </c>
      <c r="H190" s="31">
        <f>H91*Locations!$H$16*Inputs!$D$134/365+H97*Inputs!$D$135/365</f>
        <v>0.4140808767123287</v>
      </c>
      <c r="I190" s="31">
        <f>I91*Locations!$H$16*Inputs!$D$134/365+I97*Inputs!$D$135/365</f>
        <v>0.5115116712328768</v>
      </c>
      <c r="J190" s="31">
        <f>J91*Locations!$H$16*Inputs!$D$134/365+J97*Inputs!$D$135/365</f>
        <v>0.5505144361643837</v>
      </c>
      <c r="K190" s="31">
        <f>K91*Locations!$H$16*Inputs!$D$134/365+K97*Inputs!$D$135/365</f>
        <v>0.5924911619219178</v>
      </c>
      <c r="L190" s="31">
        <f>L91*Locations!$H$16*Inputs!$D$134/365+L97*Inputs!$D$135/365</f>
        <v>0.6376686130184641</v>
      </c>
      <c r="M190" s="31">
        <f>M91*Locations!$H$16*Inputs!$D$134/365+M97*Inputs!$D$135/365</f>
        <v>0.6862908447611219</v>
      </c>
      <c r="N190" s="31">
        <f>N91*Locations!$H$16*Inputs!$D$134/365+N97*Inputs!$D$135/365</f>
        <v>0.7386205216741576</v>
      </c>
      <c r="O190" s="31">
        <f>O91*Locations!$H$16*Inputs!$D$134/365+O97*Inputs!$D$135/365</f>
        <v>0.7949403364518118</v>
      </c>
      <c r="P190" s="31">
        <f>P91*Locations!$H$16*Inputs!$D$134/365+P97*Inputs!$D$135/365</f>
        <v>0.8555545371062626</v>
      </c>
    </row>
    <row r="191" spans="2:16">
      <c r="B191" s="20" t="s">
        <v>513</v>
      </c>
      <c r="C191" s="2" t="s">
        <v>321</v>
      </c>
      <c r="F191" s="31">
        <f>(F114-F116)*Inputs!$D$136/365+F116*IF(Inputs!$D$17=1,Inputs!$D$136,Inputs!$D$137)/365</f>
        <v>0.0</v>
      </c>
      <c r="G191" s="31">
        <f>(G114-G116)*Inputs!$D$136/365+G116*IF(Inputs!$D$17=1,Inputs!$D$136,Inputs!$D$137)/365</f>
        <v>2.208098611646326</v>
      </c>
      <c r="H191" s="31">
        <f>(H114-H116)*Inputs!$D$136/365+H116*IF(Inputs!$D$17=1,Inputs!$D$136,Inputs!$D$137)/365</f>
        <v>3.0065526205529265</v>
      </c>
      <c r="I191" s="31">
        <f>(I114-I116)*Inputs!$D$136/365+I116*IF(Inputs!$D$17=1,Inputs!$D$136,Inputs!$D$137)/365</f>
        <v>3.683274736228743</v>
      </c>
      <c r="J191" s="31">
        <f>(J114-J116)*Inputs!$D$136/365+J116*IF(Inputs!$D$17=1,Inputs!$D$136,Inputs!$D$137)/365</f>
        <v>3.931669519799952</v>
      </c>
      <c r="K191" s="31">
        <f>(K114-K116)*Inputs!$D$136/365+K116*IF(Inputs!$D$17=1,Inputs!$D$136,Inputs!$D$137)/365</f>
        <v>4.197269186665729</v>
      </c>
      <c r="L191" s="31">
        <f>(L114-L116)*Inputs!$D$136/365+L116*IF(Inputs!$D$17=1,Inputs!$D$136,Inputs!$D$137)/365</f>
        <v>4.48123888321021</v>
      </c>
      <c r="M191" s="31">
        <f>(M114-M116)*Inputs!$D$136/365+M116*IF(Inputs!$D$17=1,Inputs!$D$136,Inputs!$D$137)/365</f>
        <v>4.784824340209284</v>
      </c>
      <c r="N191" s="31">
        <f>(N114-N116)*Inputs!$D$136/365+N116*IF(Inputs!$D$17=1,Inputs!$D$136,Inputs!$D$137)/365</f>
        <v>5.10935764603734</v>
      </c>
      <c r="O191" s="31">
        <f>(O114-O116)*Inputs!$D$136/365+O116*IF(Inputs!$D$17=1,Inputs!$D$136,Inputs!$D$137)/365</f>
        <v>5.456436284947497</v>
      </c>
      <c r="P191" s="31">
        <f>(P114-P116)*Inputs!$D$136/365+P116*IF(Inputs!$D$17=1,Inputs!$D$136,Inputs!$D$137)/365</f>
        <v>5.827597077198531</v>
      </c>
    </row>
    <row r="192" spans="2:16">
      <c r="B192" s="20" t="s">
        <v>517</v>
      </c>
      <c r="C192" s="2" t="s">
        <v>321</v>
      </c>
      <c r="F192" s="31">
        <f>F114*Inputs!$D$138/365</f>
        <v>0.0</v>
      </c>
      <c r="G192" s="31">
        <f>G114*Inputs!$D$138/365</f>
        <v>1.30285054649066</v>
      </c>
      <c r="H192" s="31">
        <f>H114*Inputs!$D$138/365</f>
        <v>1.7794127844881695</v>
      </c>
      <c r="I192" s="31">
        <f>I114*Inputs!$D$138/365</f>
        <v>2.1865848841679703</v>
      </c>
      <c r="J192" s="31">
        <f>J114*Inputs!$D$138/365</f>
        <v>2.341141388435941</v>
      </c>
      <c r="K192" s="31">
        <f>K114*Inputs!$D$138/365</f>
        <v>2.5068321190470675</v>
      </c>
      <c r="L192" s="31">
        <f>L114*Inputs!$D$138/365</f>
        <v>2.6844510385223646</v>
      </c>
      <c r="M192" s="31">
        <f>M114*Inputs!$D$138/365</f>
        <v>2.8748495522675555</v>
      </c>
      <c r="N192" s="31">
        <f>N114*Inputs!$D$138/365</f>
        <v>3.078940749335618</v>
      </c>
      <c r="O192" s="31">
        <f>O114*Inputs!$D$138/365</f>
        <v>3.2977687758723877</v>
      </c>
      <c r="P192" s="31">
        <f>P114*Inputs!$D$138/365</f>
        <v>3.532388967104078</v>
      </c>
    </row>
    <row r="193" spans="2:16">
      <c r="B193" s="10" t="s">
        <v>610</v>
      </c>
      <c r="C193" s="79" t="s">
        <v>321</v>
      </c>
      <c r="D193" s="11"/>
      <c r="E193" s="11"/>
      <c r="F193" s="87">
        <f>F190+F191-F192</f>
        <v>0.0</v>
      </c>
      <c r="G193" s="87">
        <f>G190+G191-G192</f>
        <v>1.2068195720049812</v>
      </c>
      <c r="H193" s="87">
        <f>H190+H191-H192</f>
        <v>1.6412207127770857</v>
      </c>
      <c r="I193" s="87">
        <f>I190+I191-I192</f>
        <v>2.0082015232936494</v>
      </c>
      <c r="J193" s="87">
        <f>J190+J191-J192</f>
        <v>2.141042567528394</v>
      </c>
      <c r="K193" s="87">
        <f>K190+K191-K192</f>
        <v>2.2829282295405786</v>
      </c>
      <c r="L193" s="87">
        <f>L190+L191-L192</f>
        <v>2.4344564577063097</v>
      </c>
      <c r="M193" s="87">
        <f>M190+M191-M192</f>
        <v>2.596265632702851</v>
      </c>
      <c r="N193" s="87">
        <f>N190+N191-N192</f>
        <v>2.7690374183758797</v>
      </c>
      <c r="O193" s="87">
        <f>O190+O191-O192</f>
        <v>2.953607845526921</v>
      </c>
      <c r="P193" s="87">
        <f>P190+P191-P192</f>
        <v>3.1507626472007155</v>
      </c>
    </row>
    <row r="194" spans="2:16">
      <c r="B194" s="20" t="s">
        <v>611</v>
      </c>
      <c r="C194" s="2" t="s">
        <v>321</v>
      </c>
      <c r="F194" s="72">
        <f>F193</f>
        <v>0.0</v>
      </c>
      <c r="G194" s="72">
        <f>G193-F193</f>
        <v>1.2068195720049812</v>
      </c>
      <c r="H194" s="72">
        <f>H193-G193</f>
        <v>0.43440114077210445</v>
      </c>
      <c r="I194" s="72">
        <f>I193-H193</f>
        <v>0.3669808105165637</v>
      </c>
      <c r="J194" s="72">
        <f>J193-I193</f>
        <v>0.13284104423474474</v>
      </c>
      <c r="K194" s="72">
        <f>K193-J193</f>
        <v>0.14188566201218444</v>
      </c>
      <c r="L194" s="72">
        <f>L193-K193</f>
        <v>0.15152822816573108</v>
      </c>
      <c r="M194" s="72">
        <f>M193-L193</f>
        <v>0.16180917499654113</v>
      </c>
      <c r="N194" s="72">
        <f>N193-M193</f>
        <v>0.17277178567302887</v>
      </c>
      <c r="O194" s="72">
        <f>O193-N193</f>
        <v>0.1845704271510411</v>
      </c>
      <c r="P194" s="72">
        <f>P193-O193</f>
        <v>0.19715480167379473</v>
      </c>
    </row>
    <row r="195" spans="2:16">
      <c r="B195" s="20" t="s">
        <v>499</v>
      </c>
      <c r="C195" s="2" t="s">
        <v>321</v>
      </c>
      <c r="F195" s="31">
        <f>Capex!$G$51</f>
        <v>4.6</v>
      </c>
      <c r="G195" s="93"/>
      <c r="H195" s="93"/>
      <c r="I195" s="93"/>
      <c r="J195" s="93"/>
      <c r="K195" s="93"/>
      <c r="L195" s="93"/>
      <c r="M195" s="93"/>
      <c r="N195" s="93"/>
      <c r="O195" s="93"/>
      <c r="P195" s="93"/>
    </row>
    <row r="196" spans="2:16">
      <c r="B196" s="20" t="s">
        <v>612</v>
      </c>
      <c r="C196" s="2" t="s">
        <v>321</v>
      </c>
      <c r="F196" s="72">
        <f>F195</f>
        <v>4.6</v>
      </c>
      <c r="G196" s="72">
        <f>F196+G195</f>
        <v>4.6</v>
      </c>
      <c r="H196" s="72">
        <f>G196+H195</f>
        <v>4.6</v>
      </c>
      <c r="I196" s="72">
        <f>H196+I195</f>
        <v>4.6</v>
      </c>
      <c r="J196" s="72">
        <f>I196+J195</f>
        <v>4.6</v>
      </c>
      <c r="K196" s="72">
        <f>J196+K195</f>
        <v>4.6</v>
      </c>
      <c r="L196" s="72">
        <f>K196+L195</f>
        <v>4.6</v>
      </c>
      <c r="M196" s="72">
        <f>L196+M195</f>
        <v>4.6</v>
      </c>
      <c r="N196" s="72">
        <f>M196+N195</f>
        <v>4.6</v>
      </c>
      <c r="O196" s="72">
        <f>N196+O195</f>
        <v>4.6</v>
      </c>
      <c r="P196" s="72">
        <f>O196+P195</f>
        <v>4.6</v>
      </c>
    </row>
    <row r="198" spans="2:16" ht="18" customHeight="1">
      <c r="B198" s="4" t="s">
        <v>613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2:16">
      <c r="B199" s="41" t="s">
        <v>453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</row>
    <row r="200" spans="2:16">
      <c r="B200" s="20" t="s">
        <v>614</v>
      </c>
      <c r="C200" s="2" t="s">
        <v>321</v>
      </c>
      <c r="F200" s="93"/>
      <c r="G200" s="72">
        <f>F203</f>
        <v>33.2</v>
      </c>
      <c r="H200" s="72">
        <f>G203</f>
        <v>26.560000000000002</v>
      </c>
      <c r="I200" s="72">
        <f>H203</f>
        <v>19.92</v>
      </c>
      <c r="J200" s="72">
        <f>I203</f>
        <v>13.280000000000001</v>
      </c>
      <c r="K200" s="72">
        <f>J203</f>
        <v>6.640000000000001</v>
      </c>
      <c r="L200" s="72">
        <f>K203</f>
        <v>0.0</v>
      </c>
      <c r="M200" s="72">
        <f>L203</f>
        <v>0.0</v>
      </c>
      <c r="N200" s="72">
        <f>M203</f>
        <v>0.0</v>
      </c>
      <c r="O200" s="72">
        <f>N203</f>
        <v>0.0</v>
      </c>
      <c r="P200" s="72">
        <f>O203</f>
        <v>0.0</v>
      </c>
    </row>
    <row r="201" spans="2:16">
      <c r="B201" s="20" t="s">
        <v>615</v>
      </c>
      <c r="C201" s="2" t="s">
        <v>321</v>
      </c>
      <c r="F201" s="31">
        <f>Capex!$G$56</f>
        <v>33.2</v>
      </c>
      <c r="G201" s="93"/>
      <c r="H201" s="93"/>
      <c r="I201" s="93"/>
      <c r="J201" s="93"/>
      <c r="K201" s="93"/>
      <c r="L201" s="93"/>
      <c r="M201" s="93"/>
      <c r="N201" s="93"/>
      <c r="O201" s="93"/>
      <c r="P201" s="93"/>
    </row>
    <row r="202" spans="2:16">
      <c r="B202" s="20" t="s">
        <v>616</v>
      </c>
      <c r="C202" s="2" t="s">
        <v>321</v>
      </c>
      <c r="F202" s="93"/>
      <c r="G202" s="31">
        <f>MIN(G200,IF(G6&lt;=Capex!$G$61,Capex!$G$56/Capex!$G$61,0))</f>
        <v>6.640000000000001</v>
      </c>
      <c r="H202" s="31">
        <f>MIN(H200,IF(H6&lt;=Capex!$G$61,Capex!$G$56/Capex!$G$61,0))</f>
        <v>6.640000000000001</v>
      </c>
      <c r="I202" s="31">
        <f>MIN(I200,IF(I6&lt;=Capex!$G$61,Capex!$G$56/Capex!$G$61,0))</f>
        <v>6.640000000000001</v>
      </c>
      <c r="J202" s="31">
        <f>MIN(J200,IF(J6&lt;=Capex!$G$61,Capex!$G$56/Capex!$G$61,0))</f>
        <v>6.640000000000001</v>
      </c>
      <c r="K202" s="31">
        <f>MIN(K200,IF(K6&lt;=Capex!$G$61,Capex!$G$56/Capex!$G$61,0))</f>
        <v>6.640000000000001</v>
      </c>
      <c r="L202" s="31">
        <f>MIN(L200,IF(L6&lt;=Capex!$G$61,Capex!$G$56/Capex!$G$61,0))</f>
        <v>0.0</v>
      </c>
      <c r="M202" s="31">
        <f>MIN(M200,IF(M6&lt;=Capex!$G$61,Capex!$G$56/Capex!$G$61,0))</f>
        <v>0.0</v>
      </c>
      <c r="N202" s="31">
        <f>MIN(N200,IF(N6&lt;=Capex!$G$61,Capex!$G$56/Capex!$G$61,0))</f>
        <v>0.0</v>
      </c>
      <c r="O202" s="31">
        <f>MIN(O200,IF(O6&lt;=Capex!$G$61,Capex!$G$56/Capex!$G$61,0))</f>
        <v>0.0</v>
      </c>
      <c r="P202" s="31">
        <f>MIN(P200,IF(P6&lt;=Capex!$G$61,Capex!$G$56/Capex!$G$61,0))</f>
        <v>0.0</v>
      </c>
    </row>
    <row r="203" spans="2:16">
      <c r="B203" s="10" t="s">
        <v>617</v>
      </c>
      <c r="C203" s="79" t="s">
        <v>321</v>
      </c>
      <c r="D203" s="11"/>
      <c r="E203" s="11"/>
      <c r="F203" s="87">
        <f>F200+F201-F202</f>
        <v>33.2</v>
      </c>
      <c r="G203" s="87">
        <f>G200+G201-G202</f>
        <v>26.560000000000002</v>
      </c>
      <c r="H203" s="87">
        <f>H200+H201-H202</f>
        <v>19.92</v>
      </c>
      <c r="I203" s="87">
        <f>I200+I201-I202</f>
        <v>13.280000000000001</v>
      </c>
      <c r="J203" s="87">
        <f>J200+J201-J202</f>
        <v>6.640000000000001</v>
      </c>
      <c r="K203" s="87">
        <f>K200+K201-K202</f>
        <v>0.0</v>
      </c>
      <c r="L203" s="87">
        <f>L200+L201-L202</f>
        <v>0.0</v>
      </c>
      <c r="M203" s="87">
        <f>M200+M201-M202</f>
        <v>0.0</v>
      </c>
      <c r="N203" s="87">
        <f>N200+N201-N202</f>
        <v>0.0</v>
      </c>
      <c r="O203" s="87">
        <f>O200+O201-O202</f>
        <v>0.0</v>
      </c>
      <c r="P203" s="87">
        <f>P200+P201-P202</f>
        <v>0.0</v>
      </c>
    </row>
    <row r="204" spans="2:16">
      <c r="B204" s="20" t="s">
        <v>618</v>
      </c>
      <c r="C204" s="2" t="s">
        <v>321</v>
      </c>
      <c r="F204" s="93"/>
      <c r="G204" s="31">
        <f>Capex!$G$60*IF(Circ=1,AVERAGE(G200,G203),G200)</f>
        <v>3.652</v>
      </c>
      <c r="H204" s="31">
        <f>Capex!$G$60*IF(Circ=1,AVERAGE(H200,H203),H200)</f>
        <v>2.9216</v>
      </c>
      <c r="I204" s="31">
        <f>Capex!$G$60*IF(Circ=1,AVERAGE(I200,I203),I200)</f>
        <v>2.1912000000000003</v>
      </c>
      <c r="J204" s="31">
        <f>Capex!$G$60*IF(Circ=1,AVERAGE(J200,J203),J200)</f>
        <v>1.4608</v>
      </c>
      <c r="K204" s="31">
        <f>Capex!$G$60*IF(Circ=1,AVERAGE(K200,K203),K200)</f>
        <v>0.7304</v>
      </c>
      <c r="L204" s="31">
        <f>Capex!$G$60*IF(Circ=1,AVERAGE(L200,L203),L200)</f>
        <v>0.0</v>
      </c>
      <c r="M204" s="31">
        <f>Capex!$G$60*IF(Circ=1,AVERAGE(M200,M203),M200)</f>
        <v>0.0</v>
      </c>
      <c r="N204" s="31">
        <f>Capex!$G$60*IF(Circ=1,AVERAGE(N200,N203),N200)</f>
        <v>0.0</v>
      </c>
      <c r="O204" s="31">
        <f>Capex!$G$60*IF(Circ=1,AVERAGE(O200,O203),O200)</f>
        <v>0.0</v>
      </c>
      <c r="P204" s="31">
        <f>Capex!$G$60*IF(Circ=1,AVERAGE(P200,P203),P200)</f>
        <v>0.0</v>
      </c>
    </row>
    <row r="205" spans="2:16">
      <c r="B205" s="41" t="s">
        <v>619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</row>
    <row r="206" spans="2:16">
      <c r="B206" s="20" t="s">
        <v>620</v>
      </c>
      <c r="C206" s="2" t="s">
        <v>321</v>
      </c>
      <c r="F206" s="31">
        <f>F57+F46+F49+F201-F202+F216-F220-Inputs!$D$149/Lakh</f>
        <v>16.108500000000006</v>
      </c>
      <c r="G206" s="31">
        <f>G57+G46+G49+G201-G202+G216-G220-Inputs!$D$149/Lakh</f>
        <v>0.0794933967222935</v>
      </c>
      <c r="H206" s="31">
        <f>H57+H46+H49+H201-H202+H216-H220-Inputs!$D$149/Lakh</f>
        <v>5.749442289273627</v>
      </c>
      <c r="I206" s="31">
        <f>I57+I46+I49+I201-I202+I216-I220-Inputs!$D$149/Lakh</f>
        <v>26.499384999318252</v>
      </c>
      <c r="J206" s="31">
        <f>J57+J46+J49+J201-J202+J216-J220-Inputs!$D$149/Lakh</f>
        <v>45.61632420670971</v>
      </c>
      <c r="K206" s="31">
        <f>K57+K46+K49+K201-K202+K216-K220-Inputs!$D$149/Lakh</f>
        <v>67.80868089748579</v>
      </c>
      <c r="L206" s="31">
        <f>L57+L46+L49+L201-L202+L216-L220-Inputs!$D$149/Lakh</f>
        <v>88.69156056688136</v>
      </c>
      <c r="M206" s="31">
        <f>M57+M46+M49+M201-M202+M216-M220-Inputs!$D$149/Lakh</f>
        <v>124.14772584623202</v>
      </c>
      <c r="N206" s="31">
        <f>N57+N46+N49+N201-N202+N216-N220-Inputs!$D$149/Lakh</f>
        <v>163.0380471632458</v>
      </c>
      <c r="O206" s="31">
        <f>O57+O46+O49+O201-O202+O216-O220-Inputs!$D$149/Lakh</f>
        <v>205.6363003304602</v>
      </c>
      <c r="P206" s="31">
        <f>P57+P46+P49+P201-P202+P216-P220-Inputs!$D$149/Lakh</f>
        <v>252.226023893134</v>
      </c>
    </row>
    <row r="207" spans="2:16">
      <c r="B207" s="20" t="s">
        <v>614</v>
      </c>
      <c r="C207" s="2" t="s">
        <v>321</v>
      </c>
      <c r="F207" s="93"/>
      <c r="G207" s="72">
        <f>F209</f>
        <v>0.0</v>
      </c>
      <c r="H207" s="72">
        <f>G209</f>
        <v>0.0</v>
      </c>
      <c r="I207" s="72">
        <f>H209</f>
        <v>0.0</v>
      </c>
      <c r="J207" s="72">
        <f>I209</f>
        <v>0.0</v>
      </c>
      <c r="K207" s="72">
        <f>J209</f>
        <v>0.0</v>
      </c>
      <c r="L207" s="72">
        <f>K209</f>
        <v>0.0</v>
      </c>
      <c r="M207" s="72">
        <f>L209</f>
        <v>0.0</v>
      </c>
      <c r="N207" s="72">
        <f>M209</f>
        <v>0.0</v>
      </c>
      <c r="O207" s="72">
        <f>N209</f>
        <v>0.0</v>
      </c>
      <c r="P207" s="72">
        <f>O209</f>
        <v>0.0</v>
      </c>
    </row>
    <row r="208" spans="2:16">
      <c r="B208" s="20" t="s">
        <v>621</v>
      </c>
      <c r="C208" s="2" t="s">
        <v>321</v>
      </c>
      <c r="F208" s="72">
        <f>MAX(-F206,-F207)</f>
        <v>-0.0</v>
      </c>
      <c r="G208" s="72">
        <f>MAX(-G206,-G207)</f>
        <v>-0.0</v>
      </c>
      <c r="H208" s="72">
        <f>MAX(-H206,-H207)</f>
        <v>-0.0</v>
      </c>
      <c r="I208" s="72">
        <f>MAX(-I206,-I207)</f>
        <v>-0.0</v>
      </c>
      <c r="J208" s="72">
        <f>MAX(-J206,-J207)</f>
        <v>-0.0</v>
      </c>
      <c r="K208" s="72">
        <f>MAX(-K206,-K207)</f>
        <v>-0.0</v>
      </c>
      <c r="L208" s="72">
        <f>MAX(-L206,-L207)</f>
        <v>-0.0</v>
      </c>
      <c r="M208" s="72">
        <f>MAX(-M206,-M207)</f>
        <v>-0.0</v>
      </c>
      <c r="N208" s="72">
        <f>MAX(-N206,-N207)</f>
        <v>-0.0</v>
      </c>
      <c r="O208" s="72">
        <f>MAX(-O206,-O207)</f>
        <v>-0.0</v>
      </c>
      <c r="P208" s="72">
        <f>MAX(-P206,-P207)</f>
        <v>-0.0</v>
      </c>
    </row>
    <row r="209" spans="2:16">
      <c r="B209" s="10" t="s">
        <v>617</v>
      </c>
      <c r="C209" s="79" t="s">
        <v>321</v>
      </c>
      <c r="D209" s="11"/>
      <c r="E209" s="11"/>
      <c r="F209" s="87">
        <f>F207+F208</f>
        <v>0.0</v>
      </c>
      <c r="G209" s="87">
        <f>G207+G208</f>
        <v>0.0</v>
      </c>
      <c r="H209" s="87">
        <f>H207+H208</f>
        <v>0.0</v>
      </c>
      <c r="I209" s="87">
        <f>I207+I208</f>
        <v>0.0</v>
      </c>
      <c r="J209" s="87">
        <f>J207+J208</f>
        <v>0.0</v>
      </c>
      <c r="K209" s="87">
        <f>K207+K208</f>
        <v>0.0</v>
      </c>
      <c r="L209" s="87">
        <f>L207+L208</f>
        <v>0.0</v>
      </c>
      <c r="M209" s="87">
        <f>M207+M208</f>
        <v>0.0</v>
      </c>
      <c r="N209" s="87">
        <f>N207+N208</f>
        <v>0.0</v>
      </c>
      <c r="O209" s="87">
        <f>O207+O208</f>
        <v>0.0</v>
      </c>
      <c r="P209" s="87">
        <f>P207+P208</f>
        <v>0.0</v>
      </c>
    </row>
    <row r="210" spans="2:16">
      <c r="B210" s="20" t="s">
        <v>618</v>
      </c>
      <c r="C210" s="2" t="s">
        <v>321</v>
      </c>
      <c r="F210" s="93"/>
      <c r="G210" s="31">
        <f>Inputs!$D$148*IF(Circ=1,AVERAGE(G207,G209),G207)</f>
        <v>0.0</v>
      </c>
      <c r="H210" s="31">
        <f>Inputs!$D$148*IF(Circ=1,AVERAGE(H207,H209),H207)</f>
        <v>0.0</v>
      </c>
      <c r="I210" s="31">
        <f>Inputs!$D$148*IF(Circ=1,AVERAGE(I207,I209),I207)</f>
        <v>0.0</v>
      </c>
      <c r="J210" s="31">
        <f>Inputs!$D$148*IF(Circ=1,AVERAGE(J207,J209),J207)</f>
        <v>0.0</v>
      </c>
      <c r="K210" s="31">
        <f>Inputs!$D$148*IF(Circ=1,AVERAGE(K207,K209),K207)</f>
        <v>0.0</v>
      </c>
      <c r="L210" s="31">
        <f>Inputs!$D$148*IF(Circ=1,AVERAGE(L207,L209),L207)</f>
        <v>0.0</v>
      </c>
      <c r="M210" s="31">
        <f>Inputs!$D$148*IF(Circ=1,AVERAGE(M207,M209),M207)</f>
        <v>0.0</v>
      </c>
      <c r="N210" s="31">
        <f>Inputs!$D$148*IF(Circ=1,AVERAGE(N207,N209),N207)</f>
        <v>0.0</v>
      </c>
      <c r="O210" s="31">
        <f>Inputs!$D$148*IF(Circ=1,AVERAGE(O207,O209),O207)</f>
        <v>0.0</v>
      </c>
      <c r="P210" s="31">
        <f>Inputs!$D$148*IF(Circ=1,AVERAGE(P207,P209),P207)</f>
        <v>0.0</v>
      </c>
    </row>
    <row r="211" spans="2:16">
      <c r="B211" s="20" t="s">
        <v>250</v>
      </c>
      <c r="C211" s="2" t="s">
        <v>321</v>
      </c>
      <c r="F211" s="93"/>
      <c r="G211" s="31">
        <f>Inputs!$D$151*IF(Circ=1,AVERAGE(G57,G58),G57)</f>
        <v>0.7643400000000002</v>
      </c>
      <c r="H211" s="31">
        <f>Inputs!$D$151*IF(Circ=1,AVERAGE(H57,H58),H57)</f>
        <v>0.12317973586889167</v>
      </c>
      <c r="I211" s="31">
        <f>Inputs!$D$151*IF(Circ=1,AVERAGE(I57,I58),I57)</f>
        <v>0.3499776915709451</v>
      </c>
      <c r="J211" s="31">
        <f>Inputs!$D$151*IF(Circ=1,AVERAGE(J57,J58),J57)</f>
        <v>1.1799753999727305</v>
      </c>
      <c r="K211" s="31">
        <f>Inputs!$D$151*IF(Circ=1,AVERAGE(K57,K58),K57)</f>
        <v>1.9446529682683882</v>
      </c>
      <c r="L211" s="31">
        <f>Inputs!$D$151*IF(Circ=1,AVERAGE(L57,L58),L57)</f>
        <v>2.8323472358994315</v>
      </c>
      <c r="M211" s="31">
        <f>Inputs!$D$151*IF(Circ=1,AVERAGE(M57,M58),M57)</f>
        <v>3.6676624226752548</v>
      </c>
      <c r="N211" s="31">
        <f>Inputs!$D$151*IF(Circ=1,AVERAGE(N57,N58),N57)</f>
        <v>5.085909033849281</v>
      </c>
      <c r="O211" s="31">
        <f>Inputs!$D$151*IF(Circ=1,AVERAGE(O57,O58),O57)</f>
        <v>6.641521886529833</v>
      </c>
      <c r="P211" s="31">
        <f>Inputs!$D$151*IF(Circ=1,AVERAGE(P57,P58),P57)</f>
        <v>8.345452013218406</v>
      </c>
    </row>
    <row r="212" spans="2:16">
      <c r="B212" s="90" t="s">
        <v>622</v>
      </c>
      <c r="C212" s="2" t="s">
        <v>113</v>
      </c>
      <c r="F212" s="101"/>
      <c r="G212" s="102">
        <f>IF(G204+G210+G202&gt;0,(G29-G186)/(G204+G210+G202),"")</f>
        <v>-0.36164467851464566</v>
      </c>
      <c r="H212" s="102">
        <f>IF(H204+H210+H202&gt;0,(H29-H186)/(H204+H210+H202),"")</f>
        <v>1.8513539886059391</v>
      </c>
      <c r="I212" s="102">
        <f>IF(I204+I210+I202&gt;0,(I29-I186)/(I204+I210+I202),"")</f>
        <v>3.6535594063083443</v>
      </c>
      <c r="J212" s="102">
        <f>IF(J204+J210+J202&gt;0,(J29-J186)/(J204+J210+J202),"")</f>
        <v>3.58497239922643</v>
      </c>
      <c r="K212" s="102">
        <f>IF(K204+K210+K202&gt;0,(K29-K186)/(K204+K210+K202),"")</f>
        <v>4.185581187719781</v>
      </c>
      <c r="L212" s="102">
        <f>IF(L204+L210+L202&gt;0,(L29-L186)/(L204+L210+L202),"")</f>
        <v/>
      </c>
      <c r="M212" s="102">
        <f>IF(M204+M210+M202&gt;0,(M29-M186)/(M204+M210+M202),"")</f>
        <v/>
      </c>
      <c r="N212" s="102">
        <f>IF(N204+N210+N202&gt;0,(N29-N186)/(N204+N210+N202),"")</f>
        <v/>
      </c>
      <c r="O212" s="102">
        <f>IF(O204+O210+O202&gt;0,(O29-O186)/(O204+O210+O202),"")</f>
        <v/>
      </c>
      <c r="P212" s="102">
        <f>IF(P204+P210+P202&gt;0,(P29-P186)/(P204+P210+P202),"")</f>
        <v/>
      </c>
    </row>
    <row r="214" spans="2:16" ht="18" customHeight="1">
      <c r="B214" s="4" t="s">
        <v>623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2:16">
      <c r="B215" s="20" t="s">
        <v>624</v>
      </c>
      <c r="C215" s="2" t="s">
        <v>321</v>
      </c>
      <c r="F215" s="93"/>
      <c r="G215" s="72">
        <f>F217</f>
        <v>68.028</v>
      </c>
      <c r="H215" s="72">
        <f>G217</f>
        <v>68.028</v>
      </c>
      <c r="I215" s="72">
        <f>H217</f>
        <v>68.028</v>
      </c>
      <c r="J215" s="72">
        <f>I217</f>
        <v>68.028</v>
      </c>
      <c r="K215" s="72">
        <f>J217</f>
        <v>68.028</v>
      </c>
      <c r="L215" s="72">
        <f>K217</f>
        <v>68.028</v>
      </c>
      <c r="M215" s="72">
        <f>L217</f>
        <v>68.028</v>
      </c>
      <c r="N215" s="72">
        <f>M217</f>
        <v>68.028</v>
      </c>
      <c r="O215" s="72">
        <f>N217</f>
        <v>68.028</v>
      </c>
      <c r="P215" s="72">
        <f>O217</f>
        <v>68.028</v>
      </c>
    </row>
    <row r="216" spans="2:16">
      <c r="B216" s="20" t="s">
        <v>504</v>
      </c>
      <c r="C216" s="2" t="s">
        <v>321</v>
      </c>
      <c r="F216" s="31">
        <f>Capex!$G$57</f>
        <v>68.028</v>
      </c>
      <c r="G216" s="93"/>
      <c r="H216" s="93"/>
      <c r="I216" s="93"/>
      <c r="J216" s="93"/>
      <c r="K216" s="93"/>
      <c r="L216" s="93"/>
      <c r="M216" s="93"/>
      <c r="N216" s="93"/>
      <c r="O216" s="93"/>
      <c r="P216" s="93"/>
    </row>
    <row r="217" spans="2:16">
      <c r="B217" s="16" t="s">
        <v>625</v>
      </c>
      <c r="C217" s="2" t="s">
        <v>321</v>
      </c>
      <c r="F217" s="88">
        <f>F215+F216</f>
        <v>68.028</v>
      </c>
      <c r="G217" s="88">
        <f>G215+G216</f>
        <v>68.028</v>
      </c>
      <c r="H217" s="88">
        <f>H215+H216</f>
        <v>68.028</v>
      </c>
      <c r="I217" s="88">
        <f>I215+I216</f>
        <v>68.028</v>
      </c>
      <c r="J217" s="88">
        <f>J215+J216</f>
        <v>68.028</v>
      </c>
      <c r="K217" s="88">
        <f>K215+K216</f>
        <v>68.028</v>
      </c>
      <c r="L217" s="88">
        <f>L215+L216</f>
        <v>68.028</v>
      </c>
      <c r="M217" s="88">
        <f>M215+M216</f>
        <v>68.028</v>
      </c>
      <c r="N217" s="88">
        <f>N215+N216</f>
        <v>68.028</v>
      </c>
      <c r="O217" s="88">
        <f>O215+O216</f>
        <v>68.028</v>
      </c>
      <c r="P217" s="88">
        <f>P215+P216</f>
        <v>68.028</v>
      </c>
    </row>
    <row r="218" spans="2:16">
      <c r="B218" s="20" t="s">
        <v>626</v>
      </c>
      <c r="C218" s="2" t="s">
        <v>321</v>
      </c>
      <c r="F218" s="93"/>
      <c r="G218" s="72">
        <f>F221</f>
        <v>-11.0545</v>
      </c>
      <c r="H218" s="72">
        <f>G221</f>
        <v>-25.978970583752734</v>
      </c>
      <c r="I218" s="72">
        <f>H221</f>
        <v>-19.363097261373294</v>
      </c>
      <c r="J218" s="72">
        <f>I221</f>
        <v>2.6381987218694967</v>
      </c>
      <c r="K218" s="72">
        <f>J221</f>
        <v>22.715546009406896</v>
      </c>
      <c r="L218" s="72">
        <f>K221</f>
        <v>46.12720145058631</v>
      </c>
      <c r="M218" s="72">
        <f>L221</f>
        <v>72.72819404556601</v>
      </c>
      <c r="N218" s="72">
        <f>M221</f>
        <v>100.56907398541475</v>
      </c>
      <c r="O218" s="72">
        <f>N221</f>
        <v>132.01847443720254</v>
      </c>
      <c r="P218" s="72">
        <f>O221</f>
        <v>170.86909446453296</v>
      </c>
    </row>
    <row r="219" spans="2:16">
      <c r="B219" s="20" t="s">
        <v>491</v>
      </c>
      <c r="C219" s="2" t="s">
        <v>321</v>
      </c>
      <c r="F219" s="72">
        <f>F38</f>
        <v>-11.0545</v>
      </c>
      <c r="G219" s="72">
        <f>G38</f>
        <v>-14.924470583752733</v>
      </c>
      <c r="H219" s="72">
        <f>H38</f>
        <v>6.615873322379439</v>
      </c>
      <c r="I219" s="72">
        <f>I38</f>
        <v>22.00129598324279</v>
      </c>
      <c r="J219" s="72">
        <f>J38</f>
        <v>20.0773472875374</v>
      </c>
      <c r="K219" s="72">
        <f>K38</f>
        <v>23.411655441179416</v>
      </c>
      <c r="L219" s="72">
        <f>L38</f>
        <v>26.600992594979697</v>
      </c>
      <c r="M219" s="72">
        <f>M38</f>
        <v>27.840879939848733</v>
      </c>
      <c r="N219" s="72">
        <f>N38</f>
        <v>31.44940045178779</v>
      </c>
      <c r="O219" s="72">
        <f>O38</f>
        <v>38.85062002733042</v>
      </c>
      <c r="P219" s="72">
        <f>P38</f>
        <v>45.306615575794616</v>
      </c>
    </row>
    <row r="220" spans="2:16">
      <c r="B220" s="20" t="s">
        <v>627</v>
      </c>
      <c r="C220" s="2" t="s">
        <v>321</v>
      </c>
      <c r="F220" s="31">
        <f>IF(F38&gt;0,Inputs!$D$152*F38,0)</f>
        <v>0.0</v>
      </c>
      <c r="G220" s="31">
        <f>IF(G38&gt;0,Inputs!$D$152*G38,0)</f>
        <v>0.0</v>
      </c>
      <c r="H220" s="31">
        <f>IF(H38&gt;0,Inputs!$D$152*H38,0)</f>
        <v>0.0</v>
      </c>
      <c r="I220" s="31">
        <f>IF(I38&gt;0,Inputs!$D$152*I38,0)</f>
        <v>0.0</v>
      </c>
      <c r="J220" s="31">
        <f>IF(J38&gt;0,Inputs!$D$152*J38,0)</f>
        <v>0.0</v>
      </c>
      <c r="K220" s="31">
        <f>IF(K38&gt;0,Inputs!$D$152*K38,0)</f>
        <v>0.0</v>
      </c>
      <c r="L220" s="31">
        <f>IF(L38&gt;0,Inputs!$D$152*L38,0)</f>
        <v>0.0</v>
      </c>
      <c r="M220" s="31">
        <f>IF(M38&gt;0,Inputs!$D$152*M38,0)</f>
        <v>0.0</v>
      </c>
      <c r="N220" s="31">
        <f>IF(N38&gt;0,Inputs!$D$152*N38,0)</f>
        <v>0.0</v>
      </c>
      <c r="O220" s="31">
        <f>IF(O38&gt;0,Inputs!$D$152*O38,0)</f>
        <v>0.0</v>
      </c>
      <c r="P220" s="31">
        <f>IF(P38&gt;0,Inputs!$D$152*P38,0)</f>
        <v>0.0</v>
      </c>
    </row>
    <row r="221" spans="2:16">
      <c r="B221" s="16" t="s">
        <v>628</v>
      </c>
      <c r="C221" s="2" t="s">
        <v>321</v>
      </c>
      <c r="F221" s="88">
        <f>F218+F219-F220</f>
        <v>-11.0545</v>
      </c>
      <c r="G221" s="88">
        <f>G218+G219-G220</f>
        <v>-25.978970583752734</v>
      </c>
      <c r="H221" s="88">
        <f>H218+H219-H220</f>
        <v>-19.363097261373294</v>
      </c>
      <c r="I221" s="88">
        <f>I218+I219-I220</f>
        <v>2.6381987218694967</v>
      </c>
      <c r="J221" s="88">
        <f>J218+J219-J220</f>
        <v>22.715546009406896</v>
      </c>
      <c r="K221" s="88">
        <f>K218+K219-K220</f>
        <v>46.12720145058631</v>
      </c>
      <c r="L221" s="88">
        <f>L218+L219-L220</f>
        <v>72.72819404556601</v>
      </c>
      <c r="M221" s="88">
        <f>M218+M219-M220</f>
        <v>100.56907398541475</v>
      </c>
      <c r="N221" s="88">
        <f>N218+N219-N220</f>
        <v>132.01847443720254</v>
      </c>
      <c r="O221" s="88">
        <f>O218+O219-O220</f>
        <v>170.86909446453296</v>
      </c>
      <c r="P221" s="88">
        <f>P218+P219-P220</f>
        <v>216.17571004032757</v>
      </c>
    </row>
  </sheetData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P101"/>
  <sheetViews>
    <sheetView showGridLines="0" zoomScale="90" zoomScaleNormal="90" workbookViewId="0">
      <pane xSplit="5" ySplit="6" topLeftCell="F7" activePane="bottomRight" state="frozen"/>
      <selection pane="topRight" activeCell="F1" sqref="F1"/>
      <selection pane="bottomLeft" activeCell="A7" sqref="A7"/>
      <selection pane="bottomRight"/>
    </sheetView>
  </sheetViews>
  <sheetFormatPr defaultRowHeight="15"/>
  <cols>
    <col min="1" max="1" width="2.7109375" customWidth="1"/>
    <col min="2" max="2" width="46.7109375" customWidth="1"/>
    <col min="3" max="3" width="12.7109375" customWidth="1"/>
    <col min="4" max="4" width="13.7109375" customWidth="1"/>
    <col min="5" max="5" width="2.7109375" customWidth="1"/>
    <col min="6" max="16" width="11.7109375" customWidth="1"/>
    <col min="17" max="17" width="2.7109375" customWidth="1"/>
    <col min="18" max="18" width="60.7109375" customWidth="1"/>
  </cols>
  <sheetData>
    <row r="1" spans="2:16" ht="24" customHeight="1">
      <c r="B1" s="19" t="s">
        <v>629</v>
      </c>
    </row>
    <row r="2" spans="2:16">
      <c r="B2" s="2" t="s">
        <v>630</v>
      </c>
    </row>
    <row r="3" spans="2:16">
      <c r="B3" s="3" t="str">
        <f>"Model running: "&amp;Inputs!$D$23</f>
        <v>Model running: Prahladnagar | Rent | Toll roasting | Specialty mix | Base case</v>
      </c>
    </row>
    <row r="5" spans="2:16">
      <c r="B5" s="36" t="s">
        <v>62</v>
      </c>
      <c r="C5" s="26" t="s">
        <v>43</v>
      </c>
      <c r="D5" s="37" t="s">
        <v>63</v>
      </c>
      <c r="E5" s="38"/>
      <c r="F5" s="28">
        <f>Model!F5</f>
        <v>2027.0</v>
      </c>
      <c r="G5" s="28">
        <f>Model!G5</f>
        <v>2028.0</v>
      </c>
      <c r="H5" s="28">
        <f>Model!H5</f>
        <v>2029.0</v>
      </c>
      <c r="I5" s="28">
        <f>Model!I5</f>
        <v>2030.0</v>
      </c>
      <c r="J5" s="28">
        <f>Model!J5</f>
        <v>2031.0</v>
      </c>
      <c r="K5" s="28">
        <f>Model!K5</f>
        <v>2032.0</v>
      </c>
      <c r="L5" s="28">
        <f>Model!L5</f>
        <v>2033.0</v>
      </c>
      <c r="M5" s="28">
        <f>Model!M5</f>
        <v>2034.0</v>
      </c>
      <c r="N5" s="28">
        <f>Model!N5</f>
        <v>2035.0</v>
      </c>
      <c r="O5" s="28">
        <f>Model!O5</f>
        <v>2036.0</v>
      </c>
      <c r="P5" s="28">
        <f>Model!P5</f>
        <v>2037.0</v>
      </c>
    </row>
    <row r="6" spans="2:16">
      <c r="B6" s="2" t="s">
        <v>64</v>
      </c>
      <c r="F6" s="40">
        <f>F5-Inputs!$D$26</f>
        <v>0.0</v>
      </c>
      <c r="G6" s="40">
        <f>G5-Inputs!$D$26</f>
        <v>1.0</v>
      </c>
      <c r="H6" s="40">
        <f>H5-Inputs!$D$26</f>
        <v>2.0</v>
      </c>
      <c r="I6" s="40">
        <f>I5-Inputs!$D$26</f>
        <v>3.0</v>
      </c>
      <c r="J6" s="40">
        <f>J5-Inputs!$D$26</f>
        <v>4.0</v>
      </c>
      <c r="K6" s="40">
        <f>K5-Inputs!$D$26</f>
        <v>5.0</v>
      </c>
      <c r="L6" s="40">
        <f>L5-Inputs!$D$26</f>
        <v>6.0</v>
      </c>
      <c r="M6" s="40">
        <f>M5-Inputs!$D$26</f>
        <v>7.0</v>
      </c>
      <c r="N6" s="40">
        <f>N5-Inputs!$D$26</f>
        <v>8.0</v>
      </c>
      <c r="O6" s="40">
        <f>O5-Inputs!$D$26</f>
        <v>9.0</v>
      </c>
      <c r="P6" s="40">
        <f>P5-Inputs!$D$26</f>
        <v>10.0</v>
      </c>
    </row>
    <row r="7" spans="2:16" ht="18" customHeight="1">
      <c r="B7" s="4" t="s">
        <v>631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16">
      <c r="B8" s="20" t="s">
        <v>482</v>
      </c>
      <c r="C8" s="2" t="s">
        <v>321</v>
      </c>
      <c r="F8" s="31">
        <f>Model!F29</f>
        <v>-11.0545</v>
      </c>
      <c r="G8" s="31">
        <f>Model!G29</f>
        <v>-3.7220470312727336</v>
      </c>
      <c r="H8" s="31">
        <f>Model!H29</f>
        <v>17.70190629745455</v>
      </c>
      <c r="I8" s="31">
        <f>Model!I29</f>
        <v>33.68388291191275</v>
      </c>
      <c r="J8" s="31">
        <f>Model!J29</f>
        <v>36.55568508232548</v>
      </c>
      <c r="K8" s="31">
        <f>Model!K29</f>
        <v>39.617940454950634</v>
      </c>
      <c r="L8" s="31">
        <f>Model!L29</f>
        <v>42.879726237969166</v>
      </c>
      <c r="M8" s="31">
        <f>Model!M29</f>
        <v>46.35007091305692</v>
      </c>
      <c r="N8" s="31">
        <f>Model!N29</f>
        <v>50.037862737615576</v>
      </c>
      <c r="O8" s="31">
        <f>Model!O29</f>
        <v>53.950164341321646</v>
      </c>
      <c r="P8" s="31">
        <f>Model!P29</f>
        <v>58.09512143707456</v>
      </c>
    </row>
    <row r="9" spans="2:16">
      <c r="B9" s="20" t="s">
        <v>632</v>
      </c>
      <c r="C9" s="2" t="s">
        <v>321</v>
      </c>
      <c r="F9" s="31">
        <f>-Model!F157</f>
        <v>-0.0</v>
      </c>
      <c r="G9" s="31">
        <f>-Model!G157</f>
        <v>-8.165208333333334</v>
      </c>
      <c r="H9" s="31">
        <f>-Model!H157</f>
        <v>-8.479704333333334</v>
      </c>
      <c r="I9" s="31">
        <f>-Model!I157</f>
        <v>-8.911531533333335</v>
      </c>
      <c r="J9" s="31">
        <f>-Model!J157</f>
        <v>-9.444965133333334</v>
      </c>
      <c r="K9" s="31">
        <f>-Model!K157</f>
        <v>-9.546573045333334</v>
      </c>
      <c r="L9" s="31">
        <f>-Model!L157</f>
        <v>-10.164456685623334</v>
      </c>
      <c r="M9" s="31">
        <f>-Model!M157</f>
        <v>-12.813221977157323</v>
      </c>
      <c r="N9" s="31">
        <f>-Model!N157</f>
        <v>-13.097098086693922</v>
      </c>
      <c r="O9" s="31">
        <f>-Model!O157</f>
        <v>-8.674565173582685</v>
      </c>
      <c r="P9" s="31">
        <f>-Model!P157</f>
        <v>-5.8961331362633835</v>
      </c>
    </row>
    <row r="10" spans="2:16">
      <c r="B10" s="10" t="s">
        <v>485</v>
      </c>
      <c r="C10" s="79" t="s">
        <v>321</v>
      </c>
      <c r="D10" s="11"/>
      <c r="E10" s="11"/>
      <c r="F10" s="87">
        <f>F8+F9</f>
        <v>-11.0545</v>
      </c>
      <c r="G10" s="87">
        <f>G8+G9</f>
        <v>-11.887255364606068</v>
      </c>
      <c r="H10" s="87">
        <f>H8+H9</f>
        <v>9.222201964121215</v>
      </c>
      <c r="I10" s="87">
        <f>I8+I9</f>
        <v>24.772351378579412</v>
      </c>
      <c r="J10" s="87">
        <f>J8+J9</f>
        <v>27.11071994899215</v>
      </c>
      <c r="K10" s="87">
        <f>K8+K9</f>
        <v>30.071367409617302</v>
      </c>
      <c r="L10" s="87">
        <f>L8+L9</f>
        <v>32.71526955234583</v>
      </c>
      <c r="M10" s="87">
        <f>M8+M9</f>
        <v>33.5368489358996</v>
      </c>
      <c r="N10" s="87">
        <f>N8+N9</f>
        <v>36.94076465092165</v>
      </c>
      <c r="O10" s="87">
        <f>O8+O9</f>
        <v>45.27559916773896</v>
      </c>
      <c r="P10" s="87">
        <f>P8+P9</f>
        <v>52.19898830081118</v>
      </c>
    </row>
    <row r="11" spans="2:16">
      <c r="B11" s="41" t="s">
        <v>633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</row>
    <row r="12" spans="2:16">
      <c r="B12" s="20" t="s">
        <v>634</v>
      </c>
      <c r="C12" s="2" t="s">
        <v>321</v>
      </c>
      <c r="F12" s="31">
        <f>F10+Model!F157-Model!F171</f>
        <v>-11.0545</v>
      </c>
      <c r="G12" s="31">
        <f>G10+Model!G157-Model!G171</f>
        <v>-12.481483031272735</v>
      </c>
      <c r="H12" s="31">
        <f>H10+Model!H157-Model!H171</f>
        <v>9.98543949745455</v>
      </c>
      <c r="I12" s="31">
        <f>I10+Model!I157-Model!I171</f>
        <v>26.714245831912745</v>
      </c>
      <c r="J12" s="31">
        <f>J10+Model!J157-Model!J171</f>
        <v>30.138344747325483</v>
      </c>
      <c r="K12" s="31">
        <f>K10+Model!K157-Model!K171</f>
        <v>33.625753663091885</v>
      </c>
      <c r="L12" s="31">
        <f>L10+Model!L157-Model!L171</f>
        <v>36.34978530795523</v>
      </c>
      <c r="M12" s="31">
        <f>M10+Model!M157-Model!M171</f>
        <v>39.328373550393614</v>
      </c>
      <c r="N12" s="31">
        <f>N10+Model!N157-Model!N171</f>
        <v>43.42529660161724</v>
      </c>
      <c r="O12" s="31">
        <f>O10+Model!O157-Model!O171</f>
        <v>47.64891276626702</v>
      </c>
      <c r="P12" s="31">
        <f>P10+Model!P157-Model!P171</f>
        <v>52.01925430162521</v>
      </c>
    </row>
    <row r="13" spans="2:16">
      <c r="B13" s="20" t="s">
        <v>603</v>
      </c>
      <c r="C13" s="2" t="s">
        <v>321</v>
      </c>
      <c r="F13" s="93"/>
      <c r="G13" s="72">
        <f>F16</f>
        <v>11.0545</v>
      </c>
      <c r="H13" s="72">
        <f>G16</f>
        <v>23.535983031272735</v>
      </c>
      <c r="I13" s="72">
        <f>H16</f>
        <v>13.550543533818185</v>
      </c>
      <c r="J13" s="72">
        <f>I16</f>
        <v>0.0</v>
      </c>
      <c r="K13" s="72">
        <f>J16</f>
        <v>0.0</v>
      </c>
      <c r="L13" s="72">
        <f>K16</f>
        <v>0.0</v>
      </c>
      <c r="M13" s="72">
        <f>L16</f>
        <v>0.0</v>
      </c>
      <c r="N13" s="72">
        <f>M16</f>
        <v>0.0</v>
      </c>
      <c r="O13" s="72">
        <f>N16</f>
        <v>0.0</v>
      </c>
      <c r="P13" s="72">
        <f>O16</f>
        <v>0.0</v>
      </c>
    </row>
    <row r="14" spans="2:16">
      <c r="B14" s="20" t="s">
        <v>604</v>
      </c>
      <c r="C14" s="2" t="s">
        <v>321</v>
      </c>
      <c r="F14" s="72">
        <f>MAX(0,-F12)</f>
        <v>11.0545</v>
      </c>
      <c r="G14" s="72">
        <f>MAX(0,-G12)</f>
        <v>12.481483031272735</v>
      </c>
      <c r="H14" s="72">
        <f>MAX(0,-H12)</f>
        <v>0.0</v>
      </c>
      <c r="I14" s="72">
        <f>MAX(0,-I12)</f>
        <v>0.0</v>
      </c>
      <c r="J14" s="72">
        <f>MAX(0,-J12)</f>
        <v>0.0</v>
      </c>
      <c r="K14" s="72">
        <f>MAX(0,-K12)</f>
        <v>0.0</v>
      </c>
      <c r="L14" s="72">
        <f>MAX(0,-L12)</f>
        <v>0.0</v>
      </c>
      <c r="M14" s="72">
        <f>MAX(0,-M12)</f>
        <v>0.0</v>
      </c>
      <c r="N14" s="72">
        <f>MAX(0,-N12)</f>
        <v>0.0</v>
      </c>
      <c r="O14" s="72">
        <f>MAX(0,-O12)</f>
        <v>0.0</v>
      </c>
      <c r="P14" s="72">
        <f>MAX(0,-P12)</f>
        <v>0.0</v>
      </c>
    </row>
    <row r="15" spans="2:16">
      <c r="B15" s="20" t="s">
        <v>605</v>
      </c>
      <c r="C15" s="2" t="s">
        <v>321</v>
      </c>
      <c r="F15" s="72">
        <f>MIN(N(F13),MAX(0,F12))</f>
        <v>0.0</v>
      </c>
      <c r="G15" s="72">
        <f>MIN(N(G13),MAX(0,G12))</f>
        <v>0.0</v>
      </c>
      <c r="H15" s="72">
        <f>MIN(N(H13),MAX(0,H12))</f>
        <v>9.98543949745455</v>
      </c>
      <c r="I15" s="72">
        <f>MIN(N(I13),MAX(0,I12))</f>
        <v>13.550543533818185</v>
      </c>
      <c r="J15" s="72">
        <f>MIN(N(J13),MAX(0,J12))</f>
        <v>0.0</v>
      </c>
      <c r="K15" s="72">
        <f>MIN(N(K13),MAX(0,K12))</f>
        <v>0.0</v>
      </c>
      <c r="L15" s="72">
        <f>MIN(N(L13),MAX(0,L12))</f>
        <v>0.0</v>
      </c>
      <c r="M15" s="72">
        <f>MIN(N(M13),MAX(0,M12))</f>
        <v>0.0</v>
      </c>
      <c r="N15" s="72">
        <f>MIN(N(N13),MAX(0,N12))</f>
        <v>0.0</v>
      </c>
      <c r="O15" s="72">
        <f>MIN(N(O13),MAX(0,O12))</f>
        <v>0.0</v>
      </c>
      <c r="P15" s="72">
        <f>MIN(N(P13),MAX(0,P12))</f>
        <v>0.0</v>
      </c>
    </row>
    <row r="16" spans="2:16">
      <c r="B16" s="20" t="s">
        <v>606</v>
      </c>
      <c r="C16" s="2" t="s">
        <v>321</v>
      </c>
      <c r="F16" s="72">
        <f>F13+F14-F15</f>
        <v>11.0545</v>
      </c>
      <c r="G16" s="72">
        <f>G13+G14-G15</f>
        <v>23.535983031272735</v>
      </c>
      <c r="H16" s="72">
        <f>H13+H14-H15</f>
        <v>13.550543533818185</v>
      </c>
      <c r="I16" s="72">
        <f>I13+I14-I15</f>
        <v>0.0</v>
      </c>
      <c r="J16" s="72">
        <f>J13+J14-J15</f>
        <v>0.0</v>
      </c>
      <c r="K16" s="72">
        <f>K13+K14-K15</f>
        <v>0.0</v>
      </c>
      <c r="L16" s="72">
        <f>L13+L14-L15</f>
        <v>0.0</v>
      </c>
      <c r="M16" s="72">
        <f>M13+M14-M15</f>
        <v>0.0</v>
      </c>
      <c r="N16" s="72">
        <f>N13+N14-N15</f>
        <v>0.0</v>
      </c>
      <c r="O16" s="72">
        <f>O13+O14-O15</f>
        <v>0.0</v>
      </c>
      <c r="P16" s="72">
        <f>P13+P14-P15</f>
        <v>0.0</v>
      </c>
    </row>
    <row r="17" spans="2:16">
      <c r="B17" s="20" t="s">
        <v>635</v>
      </c>
      <c r="C17" s="2" t="s">
        <v>321</v>
      </c>
      <c r="F17" s="72">
        <f>(MAX(0,F12)-F15)*TaxRate</f>
        <v>0.0</v>
      </c>
      <c r="G17" s="72">
        <f>(MAX(0,G12)-G15)*TaxRate</f>
        <v>0.0</v>
      </c>
      <c r="H17" s="72">
        <f>(MAX(0,H12)-H15)*TaxRate</f>
        <v>0.0</v>
      </c>
      <c r="I17" s="72">
        <f>(MAX(0,I12)-I15)*TaxRate</f>
        <v>3.313040594384439</v>
      </c>
      <c r="J17" s="72">
        <f>(MAX(0,J12)-J15)*TaxRate</f>
        <v>7.585218606006878</v>
      </c>
      <c r="K17" s="72">
        <f>(MAX(0,K12)-K15)*TaxRate</f>
        <v>8.462929681926965</v>
      </c>
      <c r="L17" s="72">
        <f>(MAX(0,L12)-L15)*TaxRate</f>
        <v>9.148513966306172</v>
      </c>
      <c r="M17" s="72">
        <f>(MAX(0,M12)-M15)*TaxRate</f>
        <v>9.898165055163066</v>
      </c>
      <c r="N17" s="72">
        <f>(MAX(0,N12)-N15)*TaxRate</f>
        <v>10.929278648695028</v>
      </c>
      <c r="O17" s="72">
        <f>(MAX(0,O12)-O15)*TaxRate</f>
        <v>11.992278365014084</v>
      </c>
      <c r="P17" s="72">
        <f>(MAX(0,P12)-P15)*TaxRate</f>
        <v>13.092205922633033</v>
      </c>
    </row>
    <row r="18" spans="2:16">
      <c r="B18" s="41" t="s">
        <v>636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</row>
    <row r="19" spans="2:16">
      <c r="B19" s="20" t="s">
        <v>637</v>
      </c>
      <c r="C19" s="2" t="s">
        <v>321</v>
      </c>
      <c r="F19" s="72">
        <f>F10-F17</f>
        <v>-11.0545</v>
      </c>
      <c r="G19" s="72">
        <f>G10-G17</f>
        <v>-11.887255364606068</v>
      </c>
      <c r="H19" s="72">
        <f>H10-H17</f>
        <v>9.222201964121215</v>
      </c>
      <c r="I19" s="72">
        <f>I10-I17</f>
        <v>21.459310784194972</v>
      </c>
      <c r="J19" s="72">
        <f>J10-J17</f>
        <v>19.525501342985272</v>
      </c>
      <c r="K19" s="72">
        <f>K10-K17</f>
        <v>21.608437727690337</v>
      </c>
      <c r="L19" s="72">
        <f>L10-L17</f>
        <v>23.56675558603966</v>
      </c>
      <c r="M19" s="72">
        <f>M10-M17</f>
        <v>23.638683880736533</v>
      </c>
      <c r="N19" s="72">
        <f>N10-N17</f>
        <v>26.011486002226622</v>
      </c>
      <c r="O19" s="72">
        <f>O10-O17</f>
        <v>33.28332080272487</v>
      </c>
      <c r="P19" s="72">
        <f>P10-P17</f>
        <v>39.106782378178146</v>
      </c>
    </row>
    <row r="20" spans="2:16">
      <c r="B20" s="20" t="s">
        <v>494</v>
      </c>
      <c r="C20" s="2" t="s">
        <v>321</v>
      </c>
      <c r="F20" s="31">
        <f>Model!F157</f>
        <v>0.0</v>
      </c>
      <c r="G20" s="31">
        <f>Model!G157</f>
        <v>8.165208333333334</v>
      </c>
      <c r="H20" s="31">
        <f>Model!H157</f>
        <v>8.479704333333334</v>
      </c>
      <c r="I20" s="31">
        <f>Model!I157</f>
        <v>8.911531533333335</v>
      </c>
      <c r="J20" s="31">
        <f>Model!J157</f>
        <v>9.444965133333334</v>
      </c>
      <c r="K20" s="31">
        <f>Model!K157</f>
        <v>9.546573045333334</v>
      </c>
      <c r="L20" s="31">
        <f>Model!L157</f>
        <v>10.164456685623334</v>
      </c>
      <c r="M20" s="31">
        <f>Model!M157</f>
        <v>12.813221977157323</v>
      </c>
      <c r="N20" s="31">
        <f>Model!N157</f>
        <v>13.097098086693922</v>
      </c>
      <c r="O20" s="31">
        <f>Model!O157</f>
        <v>8.674565173582685</v>
      </c>
      <c r="P20" s="31">
        <f>Model!P157</f>
        <v>5.8961331362633835</v>
      </c>
    </row>
    <row r="21" spans="2:16">
      <c r="B21" s="20" t="s">
        <v>638</v>
      </c>
      <c r="C21" s="2" t="s">
        <v>321</v>
      </c>
      <c r="F21" s="31">
        <f>-Model!F148</f>
        <v>-66.465</v>
      </c>
      <c r="G21" s="31">
        <f>-Model!G148</f>
        <v>-1.5724799999999999</v>
      </c>
      <c r="H21" s="31">
        <f>-Model!H148</f>
        <v>-2.1591359999999997</v>
      </c>
      <c r="I21" s="31">
        <f>-Model!I148</f>
        <v>-2.667168</v>
      </c>
      <c r="J21" s="31">
        <f>-Model!J148</f>
        <v>-2.87053956</v>
      </c>
      <c r="K21" s="31">
        <f>-Model!K148</f>
        <v>-3.0894182014499996</v>
      </c>
      <c r="L21" s="31">
        <f>-Model!L148</f>
        <v>-14.816306457669942</v>
      </c>
      <c r="M21" s="31">
        <f>-Model!M148</f>
        <v>-3.578516547682993</v>
      </c>
      <c r="N21" s="31">
        <f>-Model!N148</f>
        <v>-3.8513784344438213</v>
      </c>
      <c r="O21" s="31">
        <f>-Model!O148</f>
        <v>-4.145046040070161</v>
      </c>
      <c r="P21" s="31">
        <f>-Model!P148</f>
        <v>-4.4611058006255115</v>
      </c>
    </row>
    <row r="22" spans="2:16">
      <c r="B22" s="20" t="s">
        <v>496</v>
      </c>
      <c r="C22" s="2" t="s">
        <v>321</v>
      </c>
      <c r="F22" s="31">
        <f>-Model!F194</f>
        <v>-0.0</v>
      </c>
      <c r="G22" s="31">
        <f>-Model!G194</f>
        <v>-1.2068195720049812</v>
      </c>
      <c r="H22" s="31">
        <f>-Model!H194</f>
        <v>-0.43440114077210445</v>
      </c>
      <c r="I22" s="31">
        <f>-Model!I194</f>
        <v>-0.3669808105165637</v>
      </c>
      <c r="J22" s="31">
        <f>-Model!J194</f>
        <v>-0.13284104423474474</v>
      </c>
      <c r="K22" s="31">
        <f>-Model!K194</f>
        <v>-0.14188566201218444</v>
      </c>
      <c r="L22" s="31">
        <f>-Model!L194</f>
        <v>-0.15152822816573108</v>
      </c>
      <c r="M22" s="31">
        <f>-Model!M194</f>
        <v>-0.16180917499654113</v>
      </c>
      <c r="N22" s="31">
        <f>-Model!N194</f>
        <v>-0.17277178567302887</v>
      </c>
      <c r="O22" s="31">
        <f>-Model!O194</f>
        <v>-0.1845704271510411</v>
      </c>
      <c r="P22" s="31">
        <f>-Model!P194</f>
        <v>-0.19715480167379473</v>
      </c>
    </row>
    <row r="23" spans="2:16">
      <c r="B23" s="20" t="s">
        <v>639</v>
      </c>
      <c r="C23" s="2" t="s">
        <v>321</v>
      </c>
      <c r="F23" s="31">
        <f>-Model!F195</f>
        <v>-4.6</v>
      </c>
      <c r="G23" s="31">
        <f>-Model!G195</f>
        <v>-0.0</v>
      </c>
      <c r="H23" s="31">
        <f>-Model!H195</f>
        <v>-0.0</v>
      </c>
      <c r="I23" s="31">
        <f>-Model!I195</f>
        <v>-0.0</v>
      </c>
      <c r="J23" s="31">
        <f>-Model!J195</f>
        <v>-0.0</v>
      </c>
      <c r="K23" s="31">
        <f>-Model!K195</f>
        <v>-0.0</v>
      </c>
      <c r="L23" s="31">
        <f>-Model!L195</f>
        <v>-0.0</v>
      </c>
      <c r="M23" s="31">
        <f>-Model!M195</f>
        <v>-0.0</v>
      </c>
      <c r="N23" s="31">
        <f>-Model!N195</f>
        <v>-0.0</v>
      </c>
      <c r="O23" s="31">
        <f>-Model!O195</f>
        <v>-0.0</v>
      </c>
      <c r="P23" s="31">
        <f>-Model!P195</f>
        <v>-0.0</v>
      </c>
    </row>
    <row r="24" spans="2:16">
      <c r="B24" s="10" t="s">
        <v>640</v>
      </c>
      <c r="C24" s="79" t="s">
        <v>321</v>
      </c>
      <c r="D24" s="11"/>
      <c r="E24" s="11"/>
      <c r="F24" s="87">
        <f>SUM(F19:F23)</f>
        <v>-82.1195</v>
      </c>
      <c r="G24" s="87">
        <f>SUM(G19:G23)</f>
        <v>-6.501346603277715</v>
      </c>
      <c r="H24" s="87">
        <f>SUM(H19:H23)</f>
        <v>15.108369156682445</v>
      </c>
      <c r="I24" s="87">
        <f>SUM(I19:I23)</f>
        <v>27.336693507011745</v>
      </c>
      <c r="J24" s="87">
        <f>SUM(J19:J23)</f>
        <v>25.96708587208386</v>
      </c>
      <c r="K24" s="87">
        <f>SUM(K19:K23)</f>
        <v>27.923706909561485</v>
      </c>
      <c r="L24" s="87">
        <f>SUM(L19:L23)</f>
        <v>18.76337758582732</v>
      </c>
      <c r="M24" s="87">
        <f>SUM(M19:M23)</f>
        <v>32.71158013521432</v>
      </c>
      <c r="N24" s="87">
        <f>SUM(N19:N23)</f>
        <v>35.08443386880369</v>
      </c>
      <c r="O24" s="87">
        <f>SUM(O19:O23)</f>
        <v>37.62826950908635</v>
      </c>
      <c r="P24" s="87">
        <f>SUM(P19:P23)</f>
        <v>40.34465491214222</v>
      </c>
    </row>
    <row r="25" spans="2:16">
      <c r="B25" s="20" t="s">
        <v>641</v>
      </c>
      <c r="C25" s="2" t="s">
        <v>219</v>
      </c>
      <c r="F25" s="103">
        <f>F6</f>
        <v>0.0</v>
      </c>
      <c r="G25" s="61">
        <f>G6-0.5*Inputs!$D$163</f>
        <v>1.0</v>
      </c>
      <c r="H25" s="61">
        <f>H6-0.5*Inputs!$D$163</f>
        <v>2.0</v>
      </c>
      <c r="I25" s="61">
        <f>I6-0.5*Inputs!$D$163</f>
        <v>3.0</v>
      </c>
      <c r="J25" s="61">
        <f>J6-0.5*Inputs!$D$163</f>
        <v>4.0</v>
      </c>
      <c r="K25" s="61">
        <f>K6-0.5*Inputs!$D$163</f>
        <v>5.0</v>
      </c>
      <c r="L25" s="61">
        <f>L6-0.5*Inputs!$D$163</f>
        <v>6.0</v>
      </c>
      <c r="M25" s="61">
        <f>M6-0.5*Inputs!$D$163</f>
        <v>7.0</v>
      </c>
      <c r="N25" s="61">
        <f>N6-0.5*Inputs!$D$163</f>
        <v>8.0</v>
      </c>
      <c r="O25" s="61">
        <f>O6-0.5*Inputs!$D$163</f>
        <v>9.0</v>
      </c>
      <c r="P25" s="61">
        <f>P6-0.5*Inputs!$D$163</f>
        <v>10.0</v>
      </c>
    </row>
    <row r="26" spans="2:16">
      <c r="B26" s="20" t="s">
        <v>642</v>
      </c>
      <c r="C26" s="2" t="s">
        <v>113</v>
      </c>
      <c r="F26" s="95">
        <f>1/(1+$D$41)^F25</f>
        <v>1.0</v>
      </c>
      <c r="G26" s="95">
        <f>1/(1+$D$41)^G25</f>
        <v>0.8609156332706412</v>
      </c>
      <c r="H26" s="95">
        <f>1/(1+$D$41)^H25</f>
        <v>0.7411757276097892</v>
      </c>
      <c r="I26" s="95">
        <f>1/(1+$D$41)^I25</f>
        <v>0.63808977090001</v>
      </c>
      <c r="J26" s="95">
        <f>1/(1+$D$41)^J25</f>
        <v>0.5493414591979005</v>
      </c>
      <c r="K26" s="95">
        <f>1/(1+$D$41)^K25</f>
        <v>0.4729366502271785</v>
      </c>
      <c r="L26" s="95">
        <f>1/(1+$D$41)^L25</f>
        <v>0.40715855572722714</v>
      </c>
      <c r="M26" s="95">
        <f>1/(1+$D$41)^M25</f>
        <v>0.35052916584546545</v>
      </c>
      <c r="N26" s="95">
        <f>1/(1+$D$41)^N25</f>
        <v>0.3017760387936785</v>
      </c>
      <c r="O26" s="95">
        <f>1/(1+$D$41)^O25</f>
        <v>0.2598037095439653</v>
      </c>
      <c r="P26" s="95">
        <f>1/(1+$D$41)^P25</f>
        <v>0.22366907512810463</v>
      </c>
    </row>
    <row r="27" spans="2:16">
      <c r="B27" s="16" t="s">
        <v>643</v>
      </c>
      <c r="C27" s="2" t="s">
        <v>321</v>
      </c>
      <c r="F27" s="88">
        <f>F24*F26</f>
        <v>-82.1195</v>
      </c>
      <c r="G27" s="88">
        <f>G24*G26</f>
        <v>-5.597110928072766</v>
      </c>
      <c r="H27" s="88">
        <f>H24*H26</f>
        <v>11.197956502701409</v>
      </c>
      <c r="I27" s="88">
        <f>I24*I26</f>
        <v>17.443264497052915</v>
      </c>
      <c r="J27" s="88">
        <f>J24*J26</f>
        <v>14.264796844087734</v>
      </c>
      <c r="K27" s="88">
        <f>K24*K26</f>
        <v>13.206144407733527</v>
      </c>
      <c r="L27" s="88">
        <f>L24*L26</f>
        <v>7.639669718410078</v>
      </c>
      <c r="M27" s="88">
        <f>M24*M26</f>
        <v>11.466362898283773</v>
      </c>
      <c r="N27" s="88">
        <f>N24*N26</f>
        <v>10.58764147624635</v>
      </c>
      <c r="O27" s="88">
        <f>O24*O26</f>
        <v>9.775964002180716</v>
      </c>
      <c r="P27" s="88">
        <f>P24*P26</f>
        <v>9.023851650561394</v>
      </c>
    </row>
    <row r="29" spans="2:16" ht="18" customHeight="1">
      <c r="B29" s="4" t="s">
        <v>644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2:16">
      <c r="B30" s="20" t="s">
        <v>645</v>
      </c>
      <c r="C30" s="2" t="s">
        <v>102</v>
      </c>
      <c r="D30" s="104">
        <f>Inputs!$D$155</f>
        <v>0.0729</v>
      </c>
    </row>
    <row r="31" spans="2:16">
      <c r="B31" s="20" t="s">
        <v>646</v>
      </c>
      <c r="C31" s="2" t="s">
        <v>102</v>
      </c>
      <c r="D31" s="104">
        <f>Inputs!$D$156</f>
        <v>0.0708</v>
      </c>
    </row>
    <row r="32" spans="2:16">
      <c r="B32" s="20" t="s">
        <v>647</v>
      </c>
      <c r="C32" s="2" t="s">
        <v>113</v>
      </c>
      <c r="D32" s="105">
        <f>Inputs!$D$157</f>
        <v>0.8</v>
      </c>
    </row>
    <row r="33" spans="2:16">
      <c r="B33" s="20" t="s">
        <v>648</v>
      </c>
      <c r="C33" s="2" t="s">
        <v>102</v>
      </c>
      <c r="D33" s="30">
        <f>Capex!$G$59</f>
        <v>0.3279724977279014</v>
      </c>
    </row>
    <row r="34" spans="2:16">
      <c r="B34" s="20" t="s">
        <v>649</v>
      </c>
      <c r="C34" s="2" t="s">
        <v>113</v>
      </c>
      <c r="D34" s="106">
        <f>IF($D$33&lt;1,$D$33/(1-$D$33),0)</f>
        <v>0.4880343388016699</v>
      </c>
    </row>
    <row r="35" spans="2:16">
      <c r="B35" s="20" t="s">
        <v>650</v>
      </c>
      <c r="C35" s="2" t="s">
        <v>113</v>
      </c>
      <c r="D35" s="106">
        <f>$D$32*(1+(1-TaxRate)*$D$34)</f>
        <v>1.0921646851296527</v>
      </c>
    </row>
    <row r="36" spans="2:16">
      <c r="B36" s="20" t="s">
        <v>259</v>
      </c>
      <c r="C36" s="2" t="s">
        <v>102</v>
      </c>
      <c r="D36" s="104">
        <f>Inputs!$D$158</f>
        <v>0.05</v>
      </c>
    </row>
    <row r="37" spans="2:16">
      <c r="B37" s="16" t="s">
        <v>651</v>
      </c>
      <c r="C37" s="2" t="s">
        <v>102</v>
      </c>
      <c r="D37" s="107">
        <f>$D$30+$D$35*$D$31+$D$36</f>
        <v>0.20022525970717941</v>
      </c>
    </row>
    <row r="38" spans="2:16">
      <c r="B38" s="20" t="s">
        <v>652</v>
      </c>
      <c r="C38" s="2" t="s">
        <v>102</v>
      </c>
      <c r="D38" s="104">
        <f>Capex!$G$60</f>
        <v>0.11</v>
      </c>
    </row>
    <row r="39" spans="2:16">
      <c r="B39" s="20" t="s">
        <v>653</v>
      </c>
      <c r="C39" s="2" t="s">
        <v>102</v>
      </c>
      <c r="D39" s="108">
        <f>$D$38*(1-TaxRate)</f>
        <v>0.0823152</v>
      </c>
    </row>
    <row r="40" spans="2:16">
      <c r="B40" s="20" t="s">
        <v>654</v>
      </c>
      <c r="C40" s="2" t="s">
        <v>102</v>
      </c>
      <c r="D40" s="108">
        <f>(1-$D$33)*$D$37+$D$33*$D$39</f>
        <v>0.16155400291776978</v>
      </c>
    </row>
    <row r="41" spans="2:16">
      <c r="B41" s="16" t="s">
        <v>655</v>
      </c>
      <c r="C41" s="2" t="s">
        <v>102</v>
      </c>
      <c r="D41" s="109">
        <f>$D$40+Scenarios!$D$43</f>
        <v>0.16155400291776978</v>
      </c>
    </row>
    <row r="42" spans="2:16">
      <c r="B42" s="16" t="s">
        <v>656</v>
      </c>
      <c r="C42" s="2" t="s">
        <v>102</v>
      </c>
      <c r="D42" s="109">
        <f>Scenarios!$D$44</f>
        <v>0.04</v>
      </c>
    </row>
    <row r="44" spans="2:16" ht="18" customHeight="1">
      <c r="B44" s="4" t="s">
        <v>657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2:16">
      <c r="B45" s="20" t="s">
        <v>658</v>
      </c>
      <c r="C45" s="2" t="s">
        <v>84</v>
      </c>
      <c r="D45" s="44">
        <f>MAX($F$6:$P$6)</f>
        <v>10.0</v>
      </c>
    </row>
    <row r="46" spans="2:16">
      <c r="B46" s="20" t="s">
        <v>659</v>
      </c>
      <c r="C46" s="2" t="s">
        <v>321</v>
      </c>
      <c r="D46" s="31">
        <f>Inputs!$D$20*Capex!$G$26*Locations!$H$8*Scenarios!$D$38*12*(1+Inputs!$D$112)^$D$45/Lakh</f>
        <v>0.0</v>
      </c>
    </row>
    <row r="47" spans="2:16">
      <c r="B47" s="20" t="s">
        <v>660</v>
      </c>
      <c r="C47" s="2" t="s">
        <v>321</v>
      </c>
      <c r="D47" s="31">
        <f>Inputs!$D$126*(Capex!$D$37+Capex!$D$39)*Model!P8*(1+Inputs!$D$73)/Inputs!$D$125</f>
        <v>2.444359999307899</v>
      </c>
    </row>
    <row r="48" spans="2:16">
      <c r="B48" s="20" t="s">
        <v>661</v>
      </c>
      <c r="C48" s="2" t="s">
        <v>321</v>
      </c>
      <c r="D48" s="31">
        <f>(P24+Model!P124*(1-TaxRate))*(1+$D$42)-$D$46*(1-TaxRate)-$D$47</f>
        <v>39.51408110932001</v>
      </c>
    </row>
    <row r="49" spans="2:16">
      <c r="B49" s="20" t="s">
        <v>662</v>
      </c>
      <c r="C49" s="2" t="s">
        <v>321</v>
      </c>
      <c r="D49" s="72">
        <f>IF($D$41&gt;$D$42,$D$48/($D$41-$D$42),NA())</f>
        <v>325.0742892938782</v>
      </c>
    </row>
    <row r="50" spans="2:16">
      <c r="B50" s="20" t="s">
        <v>663</v>
      </c>
      <c r="C50" s="2" t="s">
        <v>321</v>
      </c>
      <c r="D50" s="31">
        <f>Inputs!$D$20*Capex!$G$28*(1+Locations!$H$21)^$D$45</f>
        <v>0.0</v>
      </c>
    </row>
    <row r="51" spans="2:16">
      <c r="B51" s="20" t="s">
        <v>664</v>
      </c>
      <c r="C51" s="2" t="s">
        <v>321</v>
      </c>
      <c r="D51" s="31">
        <f>-$D$50*Inputs!$D$161</f>
        <v>-0.0</v>
      </c>
    </row>
    <row r="52" spans="2:16">
      <c r="B52" s="20" t="s">
        <v>665</v>
      </c>
      <c r="C52" s="2" t="s">
        <v>321</v>
      </c>
      <c r="D52" s="31">
        <f>-MAX(0,$D$50+$D$51-Capex!$G$31)*Inputs!$D$162</f>
        <v>-0.0</v>
      </c>
    </row>
    <row r="53" spans="2:16">
      <c r="B53" s="10" t="s">
        <v>666</v>
      </c>
      <c r="C53" s="79" t="s">
        <v>321</v>
      </c>
      <c r="D53" s="87">
        <f>$D$49+$D$50+$D$51+$D$52</f>
        <v>325.0742892938782</v>
      </c>
    </row>
    <row r="54" spans="2:16">
      <c r="B54" s="20" t="s">
        <v>667</v>
      </c>
      <c r="C54" s="2" t="s">
        <v>113</v>
      </c>
      <c r="D54" s="95">
        <f>1/(1+$D$41)^$D$45</f>
        <v>0.22366907512810463</v>
      </c>
    </row>
    <row r="55" spans="2:16">
      <c r="B55" s="16" t="s">
        <v>668</v>
      </c>
      <c r="C55" s="2" t="s">
        <v>321</v>
      </c>
      <c r="D55" s="88">
        <f>$D$53*$D$54</f>
        <v>72.70906563428767</v>
      </c>
    </row>
    <row r="56" spans="2:16">
      <c r="B56" s="20" t="s">
        <v>669</v>
      </c>
      <c r="C56" s="2" t="s">
        <v>113</v>
      </c>
      <c r="D56" s="105">
        <f>IF(P8+Model!P124-$D$46/(1+Inputs!$D$112)&gt;0,$D$49/(P8+Model!P124-$D$46/(1+Inputs!$D$112)),0)</f>
        <v>5.595552281373244</v>
      </c>
    </row>
    <row r="57" spans="2:16">
      <c r="B57" s="20" t="s">
        <v>670</v>
      </c>
      <c r="C57" s="2" t="s">
        <v>321</v>
      </c>
      <c r="D57" s="31">
        <f>Inputs!$D$160*(P8+Model!P124-$D$46/(1+Inputs!$D$112))</f>
        <v>290.4756071853728</v>
      </c>
    </row>
    <row r="59" spans="2:16" ht="18" customHeight="1">
      <c r="B59" s="4" t="s">
        <v>671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2:16">
      <c r="B60" s="20" t="s">
        <v>672</v>
      </c>
      <c r="C60" s="2" t="s">
        <v>321</v>
      </c>
      <c r="D60" s="72">
        <f>SUM($F$27:$P$27)</f>
        <v>16.889041069185126</v>
      </c>
    </row>
    <row r="61" spans="2:16">
      <c r="B61" s="10" t="s">
        <v>673</v>
      </c>
      <c r="C61" s="79" t="s">
        <v>321</v>
      </c>
      <c r="D61" s="87">
        <f>$D$60+$D$55</f>
        <v>89.5981067034728</v>
      </c>
    </row>
    <row r="62" spans="2:16">
      <c r="B62" s="20" t="s">
        <v>674</v>
      </c>
      <c r="C62" s="2" t="s">
        <v>102</v>
      </c>
      <c r="D62" s="60">
        <f>IF(SUM($G$27:$P$27)+$D$55&lt;&gt;0,$D$55/(SUM($G$27:$P$27)+$D$55),0)</f>
        <v>0.4234223096286446</v>
      </c>
    </row>
    <row r="63" spans="2:16">
      <c r="B63" s="20" t="s">
        <v>675</v>
      </c>
      <c r="C63" s="2" t="s">
        <v>321</v>
      </c>
      <c r="F63" s="72">
        <f>F24+IF(F6=$D$45,$D$53,0)</f>
        <v>-82.1195</v>
      </c>
      <c r="G63" s="72">
        <f>G24+IF(G6=$D$45,$D$53,0)</f>
        <v>-6.501346603277715</v>
      </c>
      <c r="H63" s="72">
        <f>H24+IF(H6=$D$45,$D$53,0)</f>
        <v>15.108369156682445</v>
      </c>
      <c r="I63" s="72">
        <f>I24+IF(I6=$D$45,$D$53,0)</f>
        <v>27.336693507011745</v>
      </c>
      <c r="J63" s="72">
        <f>J24+IF(J6=$D$45,$D$53,0)</f>
        <v>25.96708587208386</v>
      </c>
      <c r="K63" s="72">
        <f>K24+IF(K6=$D$45,$D$53,0)</f>
        <v>27.923706909561485</v>
      </c>
      <c r="L63" s="72">
        <f>L24+IF(L6=$D$45,$D$53,0)</f>
        <v>18.76337758582732</v>
      </c>
      <c r="M63" s="72">
        <f>M24+IF(M6=$D$45,$D$53,0)</f>
        <v>32.71158013521432</v>
      </c>
      <c r="N63" s="72">
        <f>N24+IF(N6=$D$45,$D$53,0)</f>
        <v>35.08443386880369</v>
      </c>
      <c r="O63" s="72">
        <f>O24+IF(O6=$D$45,$D$53,0)</f>
        <v>37.62826950908635</v>
      </c>
      <c r="P63" s="72">
        <f>P24+IF(P6=$D$45,$D$53,0)</f>
        <v>365.41894420602046</v>
      </c>
    </row>
    <row r="64" spans="2:16">
      <c r="B64" s="16" t="s">
        <v>676</v>
      </c>
      <c r="C64" s="2" t="s">
        <v>102</v>
      </c>
      <c r="D64" s="51">
        <f>IFERROR(IRR($F$63:$P$63),"n.m.")</f>
        <v>0.2863643099700878</v>
      </c>
    </row>
    <row r="65" spans="2:16">
      <c r="B65" s="41" t="s">
        <v>677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</row>
    <row r="66" spans="2:16">
      <c r="B66" s="20" t="s">
        <v>678</v>
      </c>
      <c r="C66" s="2" t="s">
        <v>321</v>
      </c>
      <c r="F66" s="31">
        <f>Model!F46+Model!F49+Model!F50+Model!F51+Model!F52</f>
        <v>-48.9195</v>
      </c>
      <c r="G66" s="31">
        <f>Model!G46+Model!G49+Model!G50+Model!G51+Model!G52</f>
        <v>-16.029006603277715</v>
      </c>
      <c r="H66" s="31">
        <f>Model!H46+Model!H49+Model!H50+Model!H51+Model!H52</f>
        <v>5.669948892551336</v>
      </c>
      <c r="I66" s="31">
        <f>Model!I46+Model!I49+Model!I50+Model!I51+Model!I52</f>
        <v>20.749942710044632</v>
      </c>
      <c r="J66" s="31">
        <f>Model!J46+Model!J49+Model!J50+Model!J51+Model!J52</f>
        <v>19.11693920739145</v>
      </c>
      <c r="K66" s="31">
        <f>Model!K46+Model!K49+Model!K50+Model!K51+Model!K52</f>
        <v>22.192356690776084</v>
      </c>
      <c r="L66" s="31">
        <f>Model!L46+Model!L49+Model!L50+Model!L51+Model!L52</f>
        <v>20.88287966939558</v>
      </c>
      <c r="M66" s="31">
        <f>Model!M46+Model!M49+Model!M50+Model!M51+Model!M52</f>
        <v>35.456165279350664</v>
      </c>
      <c r="N66" s="31">
        <f>Model!N46+Model!N49+Model!N50+Model!N51+Model!N52</f>
        <v>38.89032131701379</v>
      </c>
      <c r="O66" s="31">
        <f>Model!O46+Model!O49+Model!O50+Model!O51+Model!O52</f>
        <v>42.59825316721436</v>
      </c>
      <c r="P66" s="31">
        <f>Model!P46+Model!P49+Model!P50+Model!P51+Model!P52</f>
        <v>46.58972356267382</v>
      </c>
    </row>
    <row r="67" spans="2:16">
      <c r="B67" s="20" t="s">
        <v>679</v>
      </c>
      <c r="C67" s="2" t="s">
        <v>321</v>
      </c>
      <c r="F67" s="31">
        <f>F66+IF(F6=$D$45,$D$53-Model!F203-Model!F209,0)</f>
        <v>-48.9195</v>
      </c>
      <c r="G67" s="31">
        <f>G66+IF(G6=$D$45,$D$53-Model!G203-Model!G209,0)</f>
        <v>-16.029006603277715</v>
      </c>
      <c r="H67" s="31">
        <f>H66+IF(H6=$D$45,$D$53-Model!H203-Model!H209,0)</f>
        <v>5.669948892551336</v>
      </c>
      <c r="I67" s="31">
        <f>I66+IF(I6=$D$45,$D$53-Model!I203-Model!I209,0)</f>
        <v>20.749942710044632</v>
      </c>
      <c r="J67" s="31">
        <f>J66+IF(J6=$D$45,$D$53-Model!J203-Model!J209,0)</f>
        <v>19.11693920739145</v>
      </c>
      <c r="K67" s="31">
        <f>K66+IF(K6=$D$45,$D$53-Model!K203-Model!K209,0)</f>
        <v>22.192356690776084</v>
      </c>
      <c r="L67" s="31">
        <f>L66+IF(L6=$D$45,$D$53-Model!L203-Model!L209,0)</f>
        <v>20.88287966939558</v>
      </c>
      <c r="M67" s="31">
        <f>M66+IF(M6=$D$45,$D$53-Model!M203-Model!M209,0)</f>
        <v>35.456165279350664</v>
      </c>
      <c r="N67" s="31">
        <f>N66+IF(N6=$D$45,$D$53-Model!N203-Model!N209,0)</f>
        <v>38.89032131701379</v>
      </c>
      <c r="O67" s="31">
        <f>O66+IF(O6=$D$45,$D$53-Model!O203-Model!O209,0)</f>
        <v>42.59825316721436</v>
      </c>
      <c r="P67" s="31">
        <f>P66+IF(P6=$D$45,$D$53-Model!P203-Model!P209,0)</f>
        <v>371.66401285655206</v>
      </c>
    </row>
    <row r="68" spans="2:16">
      <c r="B68" s="16" t="s">
        <v>680</v>
      </c>
      <c r="C68" s="2" t="s">
        <v>102</v>
      </c>
      <c r="D68" s="51">
        <f>IFERROR(IRR($F$67:$P$67),"n.m.")</f>
        <v>0.32930809709610975</v>
      </c>
    </row>
    <row r="69" spans="2:16">
      <c r="B69" s="16" t="s">
        <v>681</v>
      </c>
      <c r="C69" s="2" t="s">
        <v>321</v>
      </c>
      <c r="D69" s="88">
        <f>F67+NPV($D$37,$G$67:$P$67)</f>
        <v>65.83947761744861</v>
      </c>
    </row>
    <row r="70" spans="2:16">
      <c r="B70" s="20" t="s">
        <v>682</v>
      </c>
      <c r="C70" s="2" t="s">
        <v>113</v>
      </c>
      <c r="D70" s="106">
        <f>IFERROR(SUMIF($F$67:$P$67,"&gt;0")/-SUMIF($F$67:$P$67,"&lt;0"),0)</f>
        <v>8.8873609260349</v>
      </c>
    </row>
    <row r="71" spans="2:16">
      <c r="B71" s="41" t="s">
        <v>683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</row>
    <row r="72" spans="2:16">
      <c r="B72" s="20" t="s">
        <v>684</v>
      </c>
      <c r="C72" s="2" t="s">
        <v>321</v>
      </c>
      <c r="F72" s="72">
        <f>F24</f>
        <v>-82.1195</v>
      </c>
      <c r="G72" s="72">
        <f>F72+G24</f>
        <v>-88.62084660327771</v>
      </c>
      <c r="H72" s="72">
        <f>G72+H24</f>
        <v>-73.51247744659527</v>
      </c>
      <c r="I72" s="72">
        <f>H72+I24</f>
        <v>-46.175783939583525</v>
      </c>
      <c r="J72" s="72">
        <f>I72+J24</f>
        <v>-20.208698067499665</v>
      </c>
      <c r="K72" s="72">
        <f>J72+K24</f>
        <v>7.71500884206182</v>
      </c>
      <c r="L72" s="72">
        <f>K72+L24</f>
        <v>26.47838642788914</v>
      </c>
      <c r="M72" s="72">
        <f>L72+M24</f>
        <v>59.18996656310346</v>
      </c>
      <c r="N72" s="72">
        <f>M72+N24</f>
        <v>94.27440043190715</v>
      </c>
      <c r="O72" s="72">
        <f>N72+O24</f>
        <v>131.90266994099352</v>
      </c>
      <c r="P72" s="72">
        <f>O72+P24</f>
        <v>172.24732485313575</v>
      </c>
    </row>
    <row r="73" spans="2:16">
      <c r="B73" s="90" t="s">
        <v>685</v>
      </c>
      <c r="C73" s="2" t="s">
        <v>219</v>
      </c>
      <c r="F73" s="110"/>
      <c r="G73" s="111">
        <f>IF(AND(F72&lt;0,G72&gt;=0),F6+(-F72)/G24,"")</f>
        <v/>
      </c>
      <c r="H73" s="111">
        <f>IF(AND(G72&lt;0,H72&gt;=0),G6+(-G72)/H24,"")</f>
        <v/>
      </c>
      <c r="I73" s="111">
        <f>IF(AND(H72&lt;0,I72&gt;=0),H6+(-H72)/I24,"")</f>
        <v/>
      </c>
      <c r="J73" s="111">
        <f>IF(AND(I72&lt;0,J72&gt;=0),I6+(-I72)/J24,"")</f>
        <v/>
      </c>
      <c r="K73" s="111">
        <f>IF(AND(J72&lt;0,K72&gt;=0),J6+(-J72)/K24,"")</f>
        <v>4.723711150992632</v>
      </c>
      <c r="L73" s="111">
        <f>IF(AND(K72&lt;0,L72&gt;=0),K6+(-K72)/L24,"")</f>
        <v/>
      </c>
      <c r="M73" s="111">
        <f>IF(AND(L72&lt;0,M72&gt;=0),L6+(-L72)/M24,"")</f>
        <v/>
      </c>
      <c r="N73" s="111">
        <f>IF(AND(M72&lt;0,N72&gt;=0),M6+(-M72)/N24,"")</f>
        <v/>
      </c>
      <c r="O73" s="111">
        <f>IF(AND(N72&lt;0,O72&gt;=0),N6+(-N72)/O24,"")</f>
        <v/>
      </c>
      <c r="P73" s="111">
        <f>IF(AND(O72&lt;0,P72&gt;=0),O6+(-O72)/P24,"")</f>
        <v/>
      </c>
    </row>
    <row r="74" spans="2:16">
      <c r="B74" s="20" t="s">
        <v>686</v>
      </c>
      <c r="C74" s="2" t="s">
        <v>321</v>
      </c>
      <c r="F74" s="72">
        <f>F27</f>
        <v>-82.1195</v>
      </c>
      <c r="G74" s="72">
        <f>F74+G27</f>
        <v>-87.71661092807277</v>
      </c>
      <c r="H74" s="72">
        <f>G74+H27</f>
        <v>-76.51865442537135</v>
      </c>
      <c r="I74" s="72">
        <f>H74+I27</f>
        <v>-59.07538992831844</v>
      </c>
      <c r="J74" s="72">
        <f>I74+J27</f>
        <v>-44.8105930842307</v>
      </c>
      <c r="K74" s="72">
        <f>J74+K27</f>
        <v>-31.604448676497178</v>
      </c>
      <c r="L74" s="72">
        <f>K74+L27</f>
        <v>-23.964778958087102</v>
      </c>
      <c r="M74" s="72">
        <f>L74+M27</f>
        <v>-12.49841605980333</v>
      </c>
      <c r="N74" s="72">
        <f>M74+N27</f>
        <v>-1.9107745835569787</v>
      </c>
      <c r="O74" s="72">
        <f>N74+O27</f>
        <v>7.865189418623737</v>
      </c>
      <c r="P74" s="72">
        <f>O74+P27</f>
        <v>16.889041069185133</v>
      </c>
    </row>
    <row r="75" spans="2:16">
      <c r="B75" s="90" t="s">
        <v>687</v>
      </c>
      <c r="C75" s="2" t="s">
        <v>219</v>
      </c>
      <c r="F75" s="110"/>
      <c r="G75" s="111">
        <f>IF(AND(F74&lt;0,G74&gt;=0),F6+(-F74)/G27,"")</f>
        <v/>
      </c>
      <c r="H75" s="111">
        <f>IF(AND(G74&lt;0,H74&gt;=0),G6+(-G74)/H27,"")</f>
        <v/>
      </c>
      <c r="I75" s="111">
        <f>IF(AND(H74&lt;0,I74&gt;=0),H6+(-H74)/I27,"")</f>
        <v/>
      </c>
      <c r="J75" s="111">
        <f>IF(AND(I74&lt;0,J74&gt;=0),I6+(-I74)/J27,"")</f>
        <v/>
      </c>
      <c r="K75" s="111">
        <f>IF(AND(J74&lt;0,K74&gt;=0),J6+(-J74)/K27,"")</f>
        <v/>
      </c>
      <c r="L75" s="111">
        <f>IF(AND(K74&lt;0,L74&gt;=0),K6+(-K74)/L27,"")</f>
        <v/>
      </c>
      <c r="M75" s="111">
        <f>IF(AND(L74&lt;0,M74&gt;=0),L6+(-L74)/M27,"")</f>
        <v/>
      </c>
      <c r="N75" s="111">
        <f>IF(AND(M74&lt;0,N74&gt;=0),M6+(-M74)/N27,"")</f>
        <v/>
      </c>
      <c r="O75" s="111">
        <f>IF(AND(N74&lt;0,O74&gt;=0),N6+(-N74)/O27,"")</f>
        <v>8.195456384979604</v>
      </c>
      <c r="P75" s="111">
        <f>IF(AND(O74&lt;0,P74&gt;=0),O6+(-O74)/P27,"")</f>
        <v/>
      </c>
    </row>
    <row r="76" spans="2:16">
      <c r="B76" s="16" t="s">
        <v>688</v>
      </c>
      <c r="C76" s="2" t="s">
        <v>219</v>
      </c>
      <c r="D76" s="112">
        <f>IF(COUNT($G$73:$P$73)=0,99,MIN($G$73:$P$73))</f>
        <v>4.723711150992632</v>
      </c>
    </row>
    <row r="77" spans="2:16">
      <c r="B77" s="20" t="s">
        <v>689</v>
      </c>
      <c r="C77" s="2" t="s">
        <v>219</v>
      </c>
      <c r="D77" s="113">
        <f>IF(COUNT($G$75:$P$75)=0,99,MIN($G$75:$P$75))</f>
        <v>8.195456384979604</v>
      </c>
    </row>
    <row r="79" spans="2:16" ht="18" customHeight="1">
      <c r="B79" s="4" t="s">
        <v>690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2:16">
      <c r="B80" s="20" t="s">
        <v>451</v>
      </c>
      <c r="C80" s="2" t="s">
        <v>321</v>
      </c>
      <c r="D80" s="31">
        <f>Capex!$G$53</f>
        <v>101.22800000000001</v>
      </c>
    </row>
    <row r="81" spans="2:4">
      <c r="B81" s="20" t="s">
        <v>455</v>
      </c>
      <c r="C81" s="2" t="s">
        <v>321</v>
      </c>
      <c r="D81" s="31">
        <f>Capex!$G$57</f>
        <v>68.028</v>
      </c>
    </row>
    <row r="82" spans="2:4">
      <c r="B82" s="20" t="s">
        <v>453</v>
      </c>
      <c r="C82" s="2" t="s">
        <v>321</v>
      </c>
      <c r="D82" s="31">
        <f>Capex!$G$56</f>
        <v>33.2</v>
      </c>
    </row>
    <row r="83" spans="2:4">
      <c r="B83" s="20" t="s">
        <v>691</v>
      </c>
      <c r="C83" s="2" t="s">
        <v>321</v>
      </c>
      <c r="D83" s="31">
        <f>Model!G98</f>
        <v>104.832</v>
      </c>
    </row>
    <row r="84" spans="2:4">
      <c r="B84" s="20" t="s">
        <v>692</v>
      </c>
      <c r="C84" s="2" t="s">
        <v>321</v>
      </c>
      <c r="D84" s="31">
        <f>Model!I98</f>
        <v>177.8112</v>
      </c>
    </row>
    <row r="85" spans="2:4">
      <c r="B85" s="20" t="s">
        <v>693</v>
      </c>
      <c r="C85" s="2" t="s">
        <v>321</v>
      </c>
      <c r="D85" s="31">
        <f>Model!I29</f>
        <v>33.68388291191275</v>
      </c>
    </row>
    <row r="86" spans="2:4">
      <c r="B86" s="20" t="s">
        <v>694</v>
      </c>
      <c r="C86" s="2" t="s">
        <v>102</v>
      </c>
      <c r="D86" s="30">
        <f>Model!I30</f>
        <v>0.18943622736876387</v>
      </c>
    </row>
    <row r="87" spans="2:4">
      <c r="B87" s="20" t="s">
        <v>695</v>
      </c>
      <c r="C87" s="2" t="s">
        <v>321</v>
      </c>
      <c r="D87" s="31">
        <f>Model!I38</f>
        <v>22.00129598324279</v>
      </c>
    </row>
    <row r="88" spans="2:4">
      <c r="B88" s="20" t="s">
        <v>696</v>
      </c>
      <c r="C88" s="2" t="s">
        <v>84</v>
      </c>
      <c r="D88" s="29">
        <f>Model!I85</f>
        <v>140.0</v>
      </c>
    </row>
    <row r="89" spans="2:4">
      <c r="B89" s="20" t="s">
        <v>697</v>
      </c>
      <c r="C89" s="2" t="s">
        <v>84</v>
      </c>
      <c r="D89" s="29">
        <f>Model!I140</f>
        <v>95.96828243166125</v>
      </c>
    </row>
    <row r="90" spans="2:4">
      <c r="B90" s="20" t="s">
        <v>698</v>
      </c>
      <c r="C90" s="2" t="s">
        <v>102</v>
      </c>
      <c r="D90" s="30">
        <f>Model!I141</f>
        <v>0.3145122683452768</v>
      </c>
    </row>
    <row r="91" spans="2:4">
      <c r="B91" s="20" t="s">
        <v>699</v>
      </c>
      <c r="C91" s="2" t="s">
        <v>102</v>
      </c>
      <c r="D91" s="30">
        <f>Model!I115</f>
        <v>0.2992325503010343</v>
      </c>
    </row>
    <row r="92" spans="2:4">
      <c r="B92" s="20" t="s">
        <v>700</v>
      </c>
      <c r="C92" s="2" t="s">
        <v>102</v>
      </c>
      <c r="D92" s="30">
        <f>IF(Model!I98&gt;0,Model!I121/Model!I98,0)</f>
        <v>0.2561851311953352</v>
      </c>
    </row>
    <row r="93" spans="2:4">
      <c r="B93" s="20" t="s">
        <v>701</v>
      </c>
      <c r="C93" s="2" t="s">
        <v>102</v>
      </c>
      <c r="D93" s="30">
        <f>IF(Model!I98&gt;0,(Model!I122+Model!I123+Model!I124)/Model!I98,0)</f>
        <v>0.08854166666666666</v>
      </c>
    </row>
    <row r="94" spans="2:4">
      <c r="B94" s="20" t="s">
        <v>702</v>
      </c>
      <c r="C94" s="2" t="s">
        <v>321</v>
      </c>
      <c r="D94" s="31">
        <f>Model!G29</f>
        <v>-3.7220470312727336</v>
      </c>
    </row>
    <row r="95" spans="2:4">
      <c r="B95" s="20" t="s">
        <v>703</v>
      </c>
      <c r="C95" s="2" t="s">
        <v>321</v>
      </c>
      <c r="D95" s="31">
        <f>Model!P98</f>
        <v>297.40705337503414</v>
      </c>
    </row>
    <row r="96" spans="2:4">
      <c r="B96" s="20" t="s">
        <v>704</v>
      </c>
      <c r="C96" s="2" t="s">
        <v>321</v>
      </c>
      <c r="D96" s="31">
        <f>Model!P29</f>
        <v>58.09512143707456</v>
      </c>
    </row>
    <row r="97" spans="2:6">
      <c r="B97" s="20" t="s">
        <v>705</v>
      </c>
      <c r="C97" s="2" t="s">
        <v>321</v>
      </c>
      <c r="D97" s="31">
        <f>MAX(Model!$F$209:$P$209)</f>
        <v>0.0</v>
      </c>
    </row>
    <row r="98" spans="2:6">
      <c r="B98" s="20" t="s">
        <v>706</v>
      </c>
      <c r="C98" s="2" t="s">
        <v>113</v>
      </c>
      <c r="D98" s="105">
        <f>IF(COUNT(Model!$H$212:$P$212)=0,"n.a.",MIN(Model!$H$212:$P$212))</f>
        <v>1.8513539886059391</v>
      </c>
    </row>
    <row r="99" spans="2:6">
      <c r="B99" s="20" t="s">
        <v>707</v>
      </c>
      <c r="C99" s="2" t="s">
        <v>321</v>
      </c>
      <c r="D99" s="31">
        <f>-MIN(0,I72+Inputs!$D$164*Capex!$G$48+Capex!$G$51+Model!I193+Inputs!$D$20*Capex!$G$28*(1+Locations!$H$21)^3*(1-Inputs!$D$161))</f>
        <v>19.628082416289878</v>
      </c>
      <c r="F99" s="2" t="s">
        <v>708</v>
      </c>
    </row>
    <row r="100" spans="2:6">
      <c r="B100" s="20" t="s">
        <v>709</v>
      </c>
      <c r="C100" s="2" t="s">
        <v>321</v>
      </c>
      <c r="D100" s="31">
        <f>Model!P58</f>
        <v>255.22602389313397</v>
      </c>
    </row>
    <row r="101" spans="2:6">
      <c r="B101" s="20" t="s">
        <v>710</v>
      </c>
      <c r="C101" s="2" t="s">
        <v>102</v>
      </c>
      <c r="D101" s="30">
        <f>IF(Model!K159+Model!K193+Model!K196&gt;0,Model!K32/(Model!K159+Model!K193+Model!K196),0)</f>
        <v>0.7306201716843176</v>
      </c>
    </row>
  </sheetData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64A2"/>
    <pageSetUpPr fitToPage="1"/>
  </sheetPr>
  <dimension ref="A1:P233"/>
  <sheetViews>
    <sheetView showGridLines="0" zoomScale="90" zoomScaleNormal="90" workbookViewId="0"/>
  </sheetViews>
  <sheetFormatPr defaultRowHeight="15"/>
  <cols>
    <col min="1" max="1" width="2.7109375" customWidth="1"/>
    <col min="2" max="2" width="36.7109375" customWidth="1"/>
    <col min="3" max="3" width="10.7109375" customWidth="1"/>
    <col min="4" max="17" width="12.28515625" customWidth="1"/>
  </cols>
  <sheetData>
    <row r="1" spans="2:12" ht="24" customHeight="1">
      <c r="B1" s="19" t="s">
        <v>711</v>
      </c>
    </row>
    <row r="2" spans="2:12">
      <c r="B2" s="2" t="s">
        <v>712</v>
      </c>
    </row>
    <row r="3" spans="2:12">
      <c r="B3" s="3" t="str">
        <f>"Model running: "&amp;Inputs!$D$23</f>
        <v>Model running: Prahladnagar | Rent | Toll roasting | Specialty mix | Base case</v>
      </c>
    </row>
    <row r="5" spans="2:12" ht="18" customHeight="1">
      <c r="B5" s="4" t="s">
        <v>713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2:12">
      <c r="B6" s="20" t="s">
        <v>714</v>
      </c>
      <c r="C6" s="2" t="s">
        <v>715</v>
      </c>
      <c r="D6" s="45">
        <v>0</v>
      </c>
    </row>
    <row r="7" spans="2:12">
      <c r="B7" s="20" t="s">
        <v>716</v>
      </c>
      <c r="C7" s="2" t="s">
        <v>715</v>
      </c>
      <c r="D7" s="45">
        <v>0</v>
      </c>
    </row>
    <row r="8" spans="2:12">
      <c r="B8" s="20" t="s">
        <v>717</v>
      </c>
      <c r="C8" s="2" t="s">
        <v>715</v>
      </c>
      <c r="D8" s="45">
        <v>0</v>
      </c>
    </row>
    <row r="9" spans="2:12">
      <c r="B9" s="20" t="s">
        <v>718</v>
      </c>
      <c r="C9" s="2" t="s">
        <v>715</v>
      </c>
      <c r="D9" s="45">
        <v>0</v>
      </c>
    </row>
    <row r="10" spans="2:12">
      <c r="B10" s="20" t="s">
        <v>719</v>
      </c>
      <c r="C10" s="2" t="s">
        <v>715</v>
      </c>
      <c r="D10" s="45">
        <v>0</v>
      </c>
    </row>
    <row r="11" spans="2:12">
      <c r="B11" s="20" t="s">
        <v>720</v>
      </c>
      <c r="C11" s="2" t="s">
        <v>715</v>
      </c>
      <c r="D11" s="45">
        <v>0</v>
      </c>
    </row>
    <row r="12" spans="2:12">
      <c r="B12" s="20" t="s">
        <v>721</v>
      </c>
      <c r="C12" s="2" t="s">
        <v>715</v>
      </c>
      <c r="D12" s="46">
        <v>0</v>
      </c>
    </row>
    <row r="13" spans="2:12">
      <c r="B13" s="20" t="s">
        <v>722</v>
      </c>
      <c r="C13" s="2" t="s">
        <v>715</v>
      </c>
      <c r="D13" s="58">
        <v>1</v>
      </c>
    </row>
    <row r="14" spans="2:12">
      <c r="B14" s="20" t="s">
        <v>723</v>
      </c>
      <c r="C14" s="2" t="s">
        <v>715</v>
      </c>
      <c r="D14" s="58">
        <v>1</v>
      </c>
    </row>
    <row r="15" spans="2:12">
      <c r="B15" s="20" t="s">
        <v>724</v>
      </c>
      <c r="C15" s="2" t="s">
        <v>715</v>
      </c>
      <c r="D15" s="58">
        <v>1</v>
      </c>
    </row>
    <row r="16" spans="2:12">
      <c r="B16" s="20" t="s">
        <v>725</v>
      </c>
      <c r="C16" s="2" t="s">
        <v>715</v>
      </c>
      <c r="D16" s="58">
        <v>1</v>
      </c>
    </row>
    <row r="17" spans="2:12">
      <c r="B17" s="20" t="s">
        <v>726</v>
      </c>
      <c r="C17" s="2" t="s">
        <v>715</v>
      </c>
      <c r="D17" s="58">
        <v>1</v>
      </c>
    </row>
    <row r="18" spans="2:12">
      <c r="B18" s="20" t="s">
        <v>727</v>
      </c>
      <c r="C18" s="2" t="s">
        <v>715</v>
      </c>
      <c r="D18" s="58">
        <v>1</v>
      </c>
    </row>
    <row r="19" spans="2:12">
      <c r="B19" s="20" t="s">
        <v>728</v>
      </c>
      <c r="C19" s="2" t="s">
        <v>715</v>
      </c>
      <c r="D19" s="49">
        <v>0</v>
      </c>
    </row>
    <row r="20" spans="2:12">
      <c r="B20" s="20" t="s">
        <v>729</v>
      </c>
      <c r="C20" s="2" t="s">
        <v>715</v>
      </c>
      <c r="D20" s="49">
        <v>0</v>
      </c>
    </row>
    <row r="21" spans="2:12">
      <c r="B21" s="20" t="s">
        <v>730</v>
      </c>
      <c r="C21" s="2" t="s">
        <v>715</v>
      </c>
      <c r="D21" s="45">
        <v>0</v>
      </c>
    </row>
    <row r="22" spans="2:12">
      <c r="B22" s="20" t="s">
        <v>731</v>
      </c>
      <c r="C22" s="2" t="s">
        <v>715</v>
      </c>
      <c r="D22" s="45">
        <v>0</v>
      </c>
    </row>
    <row r="24" spans="2:12">
      <c r="B24" s="41" t="s">
        <v>732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2:12">
      <c r="B25" s="56" t="s">
        <v>733</v>
      </c>
      <c r="C25" s="56" t="s">
        <v>84</v>
      </c>
      <c r="D25" s="56" t="s">
        <v>734</v>
      </c>
      <c r="E25" s="56" t="s">
        <v>735</v>
      </c>
    </row>
    <row r="26" spans="2:12">
      <c r="B26" s="20" t="s">
        <v>533</v>
      </c>
      <c r="C26" s="114">
        <v>1</v>
      </c>
      <c r="D26" s="58">
        <v>0.85</v>
      </c>
      <c r="E26" s="58">
        <v>1.15</v>
      </c>
    </row>
    <row r="27" spans="2:12">
      <c r="B27" s="20" t="s">
        <v>736</v>
      </c>
      <c r="C27" s="114">
        <v>2</v>
      </c>
      <c r="D27" s="58">
        <v>0.9</v>
      </c>
      <c r="E27" s="58">
        <v>1.1</v>
      </c>
    </row>
    <row r="28" spans="2:12">
      <c r="B28" s="20" t="s">
        <v>71</v>
      </c>
      <c r="C28" s="114">
        <v>3</v>
      </c>
      <c r="D28" s="58">
        <v>0.8</v>
      </c>
      <c r="E28" s="58">
        <v>1.2</v>
      </c>
    </row>
    <row r="29" spans="2:12">
      <c r="B29" s="20" t="s">
        <v>737</v>
      </c>
      <c r="C29" s="114">
        <v>4</v>
      </c>
      <c r="D29" s="58">
        <v>0.7</v>
      </c>
      <c r="E29" s="58">
        <v>1.3</v>
      </c>
    </row>
    <row r="30" spans="2:12">
      <c r="B30" s="20" t="s">
        <v>11</v>
      </c>
      <c r="C30" s="114">
        <v>5</v>
      </c>
      <c r="D30" s="58">
        <v>0.85</v>
      </c>
      <c r="E30" s="58">
        <v>1.2</v>
      </c>
    </row>
    <row r="31" spans="2:12">
      <c r="B31" s="20" t="s">
        <v>738</v>
      </c>
      <c r="C31" s="114">
        <v>6</v>
      </c>
      <c r="D31" s="58">
        <v>0.9</v>
      </c>
      <c r="E31" s="58">
        <v>1.15</v>
      </c>
    </row>
    <row r="32" spans="2:12">
      <c r="B32" s="20" t="s">
        <v>739</v>
      </c>
      <c r="C32" s="114">
        <v>7</v>
      </c>
      <c r="D32" s="49">
        <v>-0.02</v>
      </c>
      <c r="E32" s="49">
        <v>0.02</v>
      </c>
    </row>
    <row r="33" spans="2:14">
      <c r="B33" s="20" t="s">
        <v>740</v>
      </c>
      <c r="C33" s="114">
        <v>8</v>
      </c>
      <c r="D33" s="49">
        <v>0.03</v>
      </c>
      <c r="E33" s="49">
        <v>0.05</v>
      </c>
    </row>
    <row r="35" spans="2:14">
      <c r="B35" s="41" t="s">
        <v>741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</row>
    <row r="36" spans="2:14">
      <c r="B36" s="20" t="s">
        <v>722</v>
      </c>
      <c r="C36" s="2" t="s">
        <v>113</v>
      </c>
      <c r="D36" s="106">
        <f>$D$13*IF(AND($D$21=1,$D$22&gt;0),CHOOSE($D$22,$D$26,$E$26),1)</f>
        <v>1.0</v>
      </c>
    </row>
    <row r="37" spans="2:14">
      <c r="B37" s="20" t="s">
        <v>723</v>
      </c>
      <c r="C37" s="2" t="s">
        <v>113</v>
      </c>
      <c r="D37" s="106">
        <f>$D$14*IF(AND($D$21=2,$D$22&gt;0),CHOOSE($D$22,$D$27,$E$27),1)</f>
        <v>1.0</v>
      </c>
    </row>
    <row r="38" spans="2:14">
      <c r="B38" s="20" t="s">
        <v>724</v>
      </c>
      <c r="C38" s="2" t="s">
        <v>113</v>
      </c>
      <c r="D38" s="106">
        <f>$D$15*IF(AND($D$21=3,$D$22&gt;0),CHOOSE($D$22,$D$28,$E$28),1)</f>
        <v>1.0</v>
      </c>
    </row>
    <row r="39" spans="2:14">
      <c r="B39" s="20" t="s">
        <v>742</v>
      </c>
      <c r="C39" s="2" t="s">
        <v>113</v>
      </c>
      <c r="D39" s="106">
        <f>$D$16*IF(AND($D$21=4,$D$22&gt;0),CHOOSE($D$22,$D$29,$E$29),1)</f>
        <v>1.0</v>
      </c>
    </row>
    <row r="40" spans="2:14">
      <c r="B40" s="20" t="s">
        <v>726</v>
      </c>
      <c r="C40" s="2" t="s">
        <v>113</v>
      </c>
      <c r="D40" s="106">
        <f>$D$17*IF(AND($D$21=5,$D$22&gt;0),CHOOSE($D$22,$D$30,$E$30),1)</f>
        <v>1.0</v>
      </c>
    </row>
    <row r="41" spans="2:14">
      <c r="B41" s="20" t="s">
        <v>727</v>
      </c>
      <c r="C41" s="2" t="s">
        <v>113</v>
      </c>
      <c r="D41" s="106">
        <f>$D$18*IF(AND($D$21=6,$D$22&gt;0),CHOOSE($D$22,$D$31,$E$31),1)</f>
        <v>1.0</v>
      </c>
    </row>
    <row r="42" spans="2:14">
      <c r="B42" s="20" t="s">
        <v>743</v>
      </c>
      <c r="C42" s="2" t="s">
        <v>549</v>
      </c>
      <c r="D42" s="29">
        <f>IF($D$12&gt;0,$D$12,Inputs!$D$57)</f>
        <v>150.0</v>
      </c>
    </row>
    <row r="43" spans="2:14">
      <c r="B43" s="20" t="s">
        <v>744</v>
      </c>
      <c r="C43" s="2" t="s">
        <v>745</v>
      </c>
      <c r="D43" s="60">
        <f>$D$19+IF(AND($D$21=7,$D$22&gt;0),CHOOSE($D$22,$D$32,$E$32),0)</f>
        <v>0.0</v>
      </c>
    </row>
    <row r="44" spans="2:14">
      <c r="B44" s="20" t="s">
        <v>746</v>
      </c>
      <c r="C44" s="2" t="s">
        <v>102</v>
      </c>
      <c r="D44" s="104">
        <f>IF(AND($D$21=8,$D$22&gt;0),CHOOSE($D$22,$D$33,$E$33),IF($D$20&gt;0,$D$20,Inputs!$D$159))</f>
        <v>0.04</v>
      </c>
    </row>
    <row r="46" spans="2:14" ht="18" customHeight="1">
      <c r="B46" s="4" t="s">
        <v>747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4" ht="30" customHeight="1">
      <c r="B47" s="32" t="s">
        <v>79</v>
      </c>
      <c r="C47" s="115"/>
      <c r="D47" s="33" t="s">
        <v>748</v>
      </c>
      <c r="E47" s="33" t="s">
        <v>676</v>
      </c>
      <c r="F47" s="33" t="s">
        <v>680</v>
      </c>
      <c r="G47" s="33" t="s">
        <v>749</v>
      </c>
      <c r="H47" s="33" t="s">
        <v>683</v>
      </c>
      <c r="I47" s="33" t="s">
        <v>750</v>
      </c>
      <c r="J47" s="33" t="s">
        <v>751</v>
      </c>
      <c r="K47" s="33" t="s">
        <v>752</v>
      </c>
      <c r="L47" s="33" t="s">
        <v>753</v>
      </c>
      <c r="M47" s="33" t="s">
        <v>754</v>
      </c>
      <c r="N47" s="33" t="s">
        <v>755</v>
      </c>
    </row>
    <row r="48" spans="2:14">
      <c r="B48" s="2" t="s">
        <v>756</v>
      </c>
      <c r="D48" s="116">
        <f>DCF!$D$61</f>
        <v>89.5981067034728</v>
      </c>
      <c r="E48" s="117">
        <f>DCF!$D$64</f>
        <v>0.2863643099700878</v>
      </c>
      <c r="F48" s="117">
        <f>DCF!$D$68</f>
        <v>0.32930809709610975</v>
      </c>
      <c r="G48" s="116">
        <f>DCF!$D$69</f>
        <v>65.83947761744861</v>
      </c>
      <c r="H48" s="118">
        <f>DCF!$D$76</f>
        <v>4.723711150992632</v>
      </c>
      <c r="I48" s="118">
        <f>DCF!$D$77</f>
        <v>8.195456384979604</v>
      </c>
      <c r="J48" s="116">
        <f>DCF!$D$80</f>
        <v>101.22800000000001</v>
      </c>
      <c r="K48" s="116">
        <f>DCF!$D$84</f>
        <v>177.8112</v>
      </c>
      <c r="L48" s="117">
        <f>DCF!$D$86</f>
        <v>0.18943622736876387</v>
      </c>
      <c r="M48" s="119">
        <f>DCF!$D$89</f>
        <v>95.96828243166125</v>
      </c>
      <c r="N48" s="116">
        <f>DCF!$D$97</f>
        <v>0.0</v>
      </c>
    </row>
    <row r="49" spans="2:14">
      <c r="B49" s="7" t="s">
        <v>106</v>
      </c>
      <c r="C49" s="120">
        <v>1</v>
      </c>
      <c r="D49" s="72">
        <f t="dataTable" ref="D49:N51" dt2D="0" dtr="0" r1="D6"/>
        <v>289.2648565810483</v>
      </c>
      <c r="E49" s="60">
        <v>0.4930547737546246</v>
      </c>
      <c r="F49" s="60">
        <v>0.6077626096120488</v>
      </c>
      <c r="G49" s="72">
        <v>233.6848989847097</v>
      </c>
      <c r="H49" s="113">
        <v>2.816801934017788</v>
      </c>
      <c r="I49" s="113">
        <v>3.75038953727101</v>
      </c>
      <c r="J49" s="72">
        <v>98.06299999999999</v>
      </c>
      <c r="K49" s="72">
        <v>208.3963392000001</v>
      </c>
      <c r="L49" s="60">
        <v>0.2443232595152777</v>
      </c>
      <c r="M49" s="63">
        <v>96.83050383199748</v>
      </c>
      <c r="N49" s="72">
        <v>0</v>
      </c>
    </row>
    <row r="50" spans="2:14">
      <c r="B50" s="7" t="s">
        <v>80</v>
      </c>
      <c r="C50" s="120">
        <v>2</v>
      </c>
      <c r="D50" s="72">
        <v>89.59810670347279</v>
      </c>
      <c r="E50" s="60">
        <v>0.2863643099700878</v>
      </c>
      <c r="F50" s="60">
        <v>0.3293080970961098</v>
      </c>
      <c r="G50" s="72">
        <v>65.83947761744861</v>
      </c>
      <c r="H50" s="113">
        <v>4.723711150992632</v>
      </c>
      <c r="I50" s="113">
        <v>8.195456384979604</v>
      </c>
      <c r="J50" s="72">
        <v>101.228</v>
      </c>
      <c r="K50" s="72">
        <v>177.8112</v>
      </c>
      <c r="L50" s="60">
        <v>0.1894362273687639</v>
      </c>
      <c r="M50" s="63">
        <v>95.96828243166125</v>
      </c>
      <c r="N50" s="72">
        <v>0</v>
      </c>
    </row>
    <row r="51" spans="2:14">
      <c r="B51" s="7" t="s">
        <v>107</v>
      </c>
      <c r="C51" s="120">
        <v>3</v>
      </c>
      <c r="D51" s="72">
        <v>-187.2728269283619</v>
      </c>
      <c r="E51" s="121" t="s">
        <v>757</v>
      </c>
      <c r="F51" s="121" t="s">
        <v>757</v>
      </c>
      <c r="G51" s="72">
        <v>-138.3088427995038</v>
      </c>
      <c r="H51" s="113">
        <v>99</v>
      </c>
      <c r="I51" s="113">
        <v>99</v>
      </c>
      <c r="J51" s="72">
        <v>107.558</v>
      </c>
      <c r="K51" s="72">
        <v>124.6687884288</v>
      </c>
      <c r="L51" s="60">
        <v>-0.01130868958758988</v>
      </c>
      <c r="M51" s="63">
        <v>103.0020239046169</v>
      </c>
      <c r="N51" s="72">
        <v>282.6596331928563</v>
      </c>
    </row>
    <row r="53" spans="2:14" ht="18" customHeight="1">
      <c r="B53" s="4" t="s">
        <v>758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4">
      <c r="B54" s="2" t="s">
        <v>759</v>
      </c>
    </row>
    <row r="55" spans="2:14" ht="30" customHeight="1">
      <c r="B55" s="32" t="s">
        <v>760</v>
      </c>
      <c r="C55" s="115"/>
      <c r="D55" s="33" t="s">
        <v>71</v>
      </c>
      <c r="E55" s="33" t="s">
        <v>274</v>
      </c>
    </row>
    <row r="56" spans="2:14">
      <c r="B56" s="2" t="s">
        <v>756</v>
      </c>
      <c r="C56" s="116">
        <f>DCF!$D$61</f>
        <v>89.5981067034728</v>
      </c>
      <c r="D56" s="120">
        <v>1</v>
      </c>
      <c r="E56" s="120">
        <v>2</v>
      </c>
    </row>
    <row r="57" spans="2:14">
      <c r="B57" s="7" t="s">
        <v>68</v>
      </c>
      <c r="C57" s="120">
        <v>1</v>
      </c>
      <c r="D57" s="72">
        <f t="dataTable" ref="D57:E60" dt2D="1" dtr="1" r1="D9" r2="D8"/>
        <v>89.59810670347279</v>
      </c>
      <c r="E57" s="72">
        <v>84.79579931172951</v>
      </c>
    </row>
    <row r="58" spans="2:14">
      <c r="B58" s="7" t="s">
        <v>279</v>
      </c>
      <c r="C58" s="120">
        <v>2</v>
      </c>
      <c r="D58" s="72">
        <v>192.743673477814</v>
      </c>
      <c r="E58" s="72">
        <v>223.5142806179558</v>
      </c>
    </row>
    <row r="59" spans="2:14">
      <c r="B59" s="7" t="s">
        <v>280</v>
      </c>
      <c r="C59" s="120">
        <v>3</v>
      </c>
      <c r="D59" s="72">
        <v>148.34342206592</v>
      </c>
      <c r="E59" s="72">
        <v>184.8917097107206</v>
      </c>
    </row>
    <row r="60" spans="2:14">
      <c r="B60" s="7" t="s">
        <v>281</v>
      </c>
      <c r="C60" s="120">
        <v>4</v>
      </c>
      <c r="D60" s="72">
        <v>-10.18167885613484</v>
      </c>
      <c r="E60" s="72">
        <v>-6.792522846602068</v>
      </c>
    </row>
    <row r="61" spans="2:14">
      <c r="B61" s="2" t="s">
        <v>676</v>
      </c>
    </row>
    <row r="62" spans="2:14" ht="30" customHeight="1">
      <c r="B62" s="32" t="s">
        <v>760</v>
      </c>
      <c r="C62" s="115"/>
      <c r="D62" s="33" t="s">
        <v>71</v>
      </c>
      <c r="E62" s="33" t="s">
        <v>274</v>
      </c>
    </row>
    <row r="63" spans="2:14">
      <c r="B63" s="2" t="s">
        <v>756</v>
      </c>
      <c r="C63" s="117">
        <f>DCF!$D$64</f>
        <v>0.2863643099700878</v>
      </c>
      <c r="D63" s="120">
        <v>1</v>
      </c>
      <c r="E63" s="120">
        <v>2</v>
      </c>
    </row>
    <row r="64" spans="2:14">
      <c r="B64" s="7" t="s">
        <v>68</v>
      </c>
      <c r="C64" s="120">
        <v>1</v>
      </c>
      <c r="D64" s="60">
        <f t="dataTable" ref="D64:E67" dt2D="1" dtr="1" r1="D9" r2="D8"/>
        <v>0.2863643099700878</v>
      </c>
      <c r="E64" s="60">
        <v>0.1894352779098542</v>
      </c>
    </row>
    <row r="65" spans="2:5">
      <c r="B65" s="7" t="s">
        <v>279</v>
      </c>
      <c r="C65" s="120">
        <v>2</v>
      </c>
      <c r="D65" s="60">
        <v>0.3518814182719267</v>
      </c>
      <c r="E65" s="60">
        <v>0.216965493068596</v>
      </c>
    </row>
    <row r="66" spans="2:5">
      <c r="B66" s="7" t="s">
        <v>280</v>
      </c>
      <c r="C66" s="120">
        <v>3</v>
      </c>
      <c r="D66" s="60">
        <v>0.3424546200942723</v>
      </c>
      <c r="E66" s="60">
        <v>0.2494439536683157</v>
      </c>
    </row>
    <row r="67" spans="2:5">
      <c r="B67" s="7" t="s">
        <v>281</v>
      </c>
      <c r="C67" s="120">
        <v>4</v>
      </c>
      <c r="D67" s="60">
        <v>0.1420606704971529</v>
      </c>
      <c r="E67" s="60">
        <v>0.140986129480241</v>
      </c>
    </row>
    <row r="68" spans="2:5">
      <c r="B68" s="2" t="s">
        <v>680</v>
      </c>
    </row>
    <row r="69" spans="2:5" ht="30" customHeight="1">
      <c r="B69" s="32" t="s">
        <v>760</v>
      </c>
      <c r="C69" s="115"/>
      <c r="D69" s="33" t="s">
        <v>71</v>
      </c>
      <c r="E69" s="33" t="s">
        <v>274</v>
      </c>
    </row>
    <row r="70" spans="2:5">
      <c r="B70" s="2" t="s">
        <v>756</v>
      </c>
      <c r="C70" s="117">
        <f>DCF!$D$68</f>
        <v>0.32930809709610975</v>
      </c>
      <c r="D70" s="120">
        <v>1</v>
      </c>
      <c r="E70" s="120">
        <v>2</v>
      </c>
    </row>
    <row r="71" spans="2:5">
      <c r="B71" s="7" t="s">
        <v>68</v>
      </c>
      <c r="C71" s="120">
        <v>1</v>
      </c>
      <c r="D71" s="60">
        <f t="dataTable" ref="D71:E74" dt2D="1" dtr="1" r1="D9" r2="D8"/>
        <v>0.3293080970961098</v>
      </c>
      <c r="E71" s="60">
        <v>0.2430253656880843</v>
      </c>
    </row>
    <row r="72" spans="2:5">
      <c r="B72" s="7" t="s">
        <v>279</v>
      </c>
      <c r="C72" s="120">
        <v>2</v>
      </c>
      <c r="D72" s="60">
        <v>0.4069988489794623</v>
      </c>
      <c r="E72" s="60">
        <v>0.2844555389818285</v>
      </c>
    </row>
    <row r="73" spans="2:5">
      <c r="B73" s="7" t="s">
        <v>280</v>
      </c>
      <c r="C73" s="120">
        <v>3</v>
      </c>
      <c r="D73" s="60">
        <v>0.3929590635409077</v>
      </c>
      <c r="E73" s="60">
        <v>0.3256228811470879</v>
      </c>
    </row>
    <row r="74" spans="2:5">
      <c r="B74" s="7" t="s">
        <v>281</v>
      </c>
      <c r="C74" s="120">
        <v>4</v>
      </c>
      <c r="D74" s="60">
        <v>0.1584014703871875</v>
      </c>
      <c r="E74" s="60">
        <v>0.1701924933044389</v>
      </c>
    </row>
    <row r="75" spans="2:5">
      <c r="B75" s="2" t="s">
        <v>761</v>
      </c>
    </row>
    <row r="76" spans="2:5" ht="30" customHeight="1">
      <c r="B76" s="32" t="s">
        <v>760</v>
      </c>
      <c r="C76" s="115"/>
      <c r="D76" s="33" t="s">
        <v>71</v>
      </c>
      <c r="E76" s="33" t="s">
        <v>274</v>
      </c>
    </row>
    <row r="77" spans="2:5">
      <c r="B77" s="2" t="s">
        <v>756</v>
      </c>
      <c r="C77" s="116">
        <f>DCF!$D$80</f>
        <v>101.22800000000001</v>
      </c>
      <c r="D77" s="120">
        <v>1</v>
      </c>
      <c r="E77" s="120">
        <v>2</v>
      </c>
    </row>
    <row r="78" spans="2:5">
      <c r="B78" s="7" t="s">
        <v>68</v>
      </c>
      <c r="C78" s="120">
        <v>1</v>
      </c>
      <c r="D78" s="72">
        <f t="dataTable" ref="D78:E81" dt2D="1" dtr="1" r1="D9" r2="D8"/>
        <v>101.228</v>
      </c>
      <c r="E78" s="72">
        <v>277.1655</v>
      </c>
    </row>
    <row r="79" spans="2:5">
      <c r="B79" s="7" t="s">
        <v>279</v>
      </c>
      <c r="C79" s="120">
        <v>2</v>
      </c>
      <c r="D79" s="72">
        <v>129.8836</v>
      </c>
      <c r="E79" s="72">
        <v>413.3356</v>
      </c>
    </row>
    <row r="80" spans="2:5">
      <c r="B80" s="7" t="s">
        <v>280</v>
      </c>
      <c r="C80" s="120">
        <v>3</v>
      </c>
      <c r="D80" s="72">
        <v>97.5531</v>
      </c>
      <c r="E80" s="72">
        <v>220.7946</v>
      </c>
    </row>
    <row r="81" spans="2:12">
      <c r="B81" s="7" t="s">
        <v>281</v>
      </c>
      <c r="C81" s="120">
        <v>4</v>
      </c>
      <c r="D81" s="72">
        <v>87.21619999999999</v>
      </c>
      <c r="E81" s="72">
        <v>152.4137</v>
      </c>
    </row>
    <row r="83" spans="2:12" ht="18" customHeight="1">
      <c r="B83" s="4" t="s">
        <v>762</v>
      </c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2:12">
      <c r="B84" s="2" t="s">
        <v>759</v>
      </c>
    </row>
    <row r="85" spans="2:12" ht="30" customHeight="1">
      <c r="B85" s="32" t="s">
        <v>763</v>
      </c>
      <c r="C85" s="115"/>
      <c r="D85" s="33" t="s">
        <v>63</v>
      </c>
      <c r="E85" s="33" t="s">
        <v>77</v>
      </c>
      <c r="F85" s="33" t="s">
        <v>349</v>
      </c>
      <c r="G85" s="33" t="s">
        <v>350</v>
      </c>
    </row>
    <row r="86" spans="2:12">
      <c r="B86" s="2" t="s">
        <v>756</v>
      </c>
      <c r="C86" s="116">
        <f>DCF!$D$61</f>
        <v>89.5981067034728</v>
      </c>
      <c r="D86" s="120">
        <v>1</v>
      </c>
      <c r="E86" s="120">
        <v>2</v>
      </c>
      <c r="F86" s="120">
        <v>3</v>
      </c>
      <c r="G86" s="120">
        <v>4</v>
      </c>
    </row>
    <row r="87" spans="2:12">
      <c r="B87" s="7" t="s">
        <v>380</v>
      </c>
      <c r="C87" s="120">
        <v>1</v>
      </c>
      <c r="D87" s="72">
        <f t="dataTable" ref="D87:G89" dt2D="1" dtr="1" r1="D11" r2="D10"/>
        <v>37.04267524554368</v>
      </c>
      <c r="E87" s="72">
        <v>64.41763386403566</v>
      </c>
      <c r="F87" s="72">
        <v>53.43123266899455</v>
      </c>
      <c r="G87" s="72">
        <v>72.7501123734646</v>
      </c>
    </row>
    <row r="88" spans="2:12">
      <c r="B88" s="7" t="s">
        <v>74</v>
      </c>
      <c r="C88" s="120">
        <v>2</v>
      </c>
      <c r="D88" s="72">
        <v>53.56540103854564</v>
      </c>
      <c r="E88" s="72">
        <v>89.59810670347279</v>
      </c>
      <c r="F88" s="72">
        <v>80.62891035897189</v>
      </c>
      <c r="G88" s="72">
        <v>99.82774759484747</v>
      </c>
    </row>
    <row r="89" spans="2:12">
      <c r="B89" s="7" t="s">
        <v>381</v>
      </c>
      <c r="C89" s="120">
        <v>3</v>
      </c>
      <c r="D89" s="72">
        <v>2.192508200738942</v>
      </c>
      <c r="E89" s="72">
        <v>39.97744078726686</v>
      </c>
      <c r="F89" s="72">
        <v>54.67342031203522</v>
      </c>
      <c r="G89" s="72">
        <v>56.41067828794123</v>
      </c>
    </row>
    <row r="90" spans="2:12">
      <c r="B90" s="2" t="s">
        <v>694</v>
      </c>
    </row>
    <row r="91" spans="2:12" ht="30" customHeight="1">
      <c r="B91" s="32" t="s">
        <v>763</v>
      </c>
      <c r="C91" s="115"/>
      <c r="D91" s="33" t="s">
        <v>63</v>
      </c>
      <c r="E91" s="33" t="s">
        <v>77</v>
      </c>
      <c r="F91" s="33" t="s">
        <v>349</v>
      </c>
      <c r="G91" s="33" t="s">
        <v>350</v>
      </c>
    </row>
    <row r="92" spans="2:12">
      <c r="B92" s="2" t="s">
        <v>756</v>
      </c>
      <c r="C92" s="117">
        <f>DCF!$D$86</f>
        <v>0.18943622736876387</v>
      </c>
      <c r="D92" s="120">
        <v>1</v>
      </c>
      <c r="E92" s="120">
        <v>2</v>
      </c>
      <c r="F92" s="120">
        <v>3</v>
      </c>
      <c r="G92" s="120">
        <v>4</v>
      </c>
    </row>
    <row r="93" spans="2:12">
      <c r="B93" s="7" t="s">
        <v>380</v>
      </c>
      <c r="C93" s="120">
        <v>1</v>
      </c>
      <c r="D93" s="60">
        <f t="dataTable" ref="D93:G95" dt2D="1" dtr="1" r1="D11" r2="D10"/>
        <v>0.1522050347913814</v>
      </c>
      <c r="E93" s="60">
        <v>0.1682539505914344</v>
      </c>
      <c r="F93" s="60">
        <v>0.1517552101850567</v>
      </c>
      <c r="G93" s="60">
        <v>0.1721992370363247</v>
      </c>
    </row>
    <row r="94" spans="2:12">
      <c r="B94" s="7" t="s">
        <v>74</v>
      </c>
      <c r="C94" s="120">
        <v>2</v>
      </c>
      <c r="D94" s="60">
        <v>0.1666025536142063</v>
      </c>
      <c r="E94" s="60">
        <v>0.1894362273687639</v>
      </c>
      <c r="F94" s="60">
        <v>0.1749039517961793</v>
      </c>
      <c r="G94" s="60">
        <v>0.1946743864725165</v>
      </c>
    </row>
    <row r="95" spans="2:12">
      <c r="B95" s="7" t="s">
        <v>381</v>
      </c>
      <c r="C95" s="120">
        <v>3</v>
      </c>
      <c r="D95" s="60">
        <v>0.1220963192076204</v>
      </c>
      <c r="E95" s="60">
        <v>0.1369914169236323</v>
      </c>
      <c r="F95" s="60">
        <v>0.1298724780036017</v>
      </c>
      <c r="G95" s="60">
        <v>0.1430808447168329</v>
      </c>
    </row>
    <row r="97" spans="2:14" ht="18" customHeight="1">
      <c r="B97" s="4" t="s">
        <v>764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2:14" ht="30" customHeight="1">
      <c r="B98" s="32" t="s">
        <v>765</v>
      </c>
      <c r="C98" s="115"/>
      <c r="D98" s="33" t="s">
        <v>748</v>
      </c>
      <c r="E98" s="33" t="s">
        <v>676</v>
      </c>
      <c r="F98" s="33" t="s">
        <v>680</v>
      </c>
      <c r="G98" s="33" t="s">
        <v>683</v>
      </c>
      <c r="H98" s="33" t="s">
        <v>751</v>
      </c>
      <c r="I98" s="33" t="s">
        <v>766</v>
      </c>
      <c r="J98" s="33" t="s">
        <v>752</v>
      </c>
      <c r="K98" s="33" t="s">
        <v>767</v>
      </c>
      <c r="L98" s="33" t="s">
        <v>753</v>
      </c>
      <c r="M98" s="33" t="s">
        <v>754</v>
      </c>
      <c r="N98" s="33" t="s">
        <v>768</v>
      </c>
    </row>
    <row r="99" spans="2:14">
      <c r="B99" s="2" t="s">
        <v>756</v>
      </c>
      <c r="D99" s="116">
        <f>DCF!$D$61</f>
        <v>89.5981067034728</v>
      </c>
      <c r="E99" s="117">
        <f>DCF!$D$64</f>
        <v>0.2863643099700878</v>
      </c>
      <c r="F99" s="117">
        <f>DCF!$D$68</f>
        <v>0.32930809709610975</v>
      </c>
      <c r="G99" s="118">
        <f>DCF!$D$76</f>
        <v>4.723711150992632</v>
      </c>
      <c r="H99" s="116">
        <f>DCF!$D$80</f>
        <v>101.22800000000001</v>
      </c>
      <c r="I99" s="116">
        <f>DCF!$D$81</f>
        <v>68.028</v>
      </c>
      <c r="J99" s="116">
        <f>DCF!$D$84</f>
        <v>177.8112</v>
      </c>
      <c r="K99" s="116">
        <f>DCF!$D$85</f>
        <v>33.68388291191275</v>
      </c>
      <c r="L99" s="117">
        <f>DCF!$D$86</f>
        <v>0.18943622736876387</v>
      </c>
      <c r="M99" s="119">
        <f>DCF!$D$89</f>
        <v>95.96828243166125</v>
      </c>
      <c r="N99" s="122">
        <f>DCF!$D$98</f>
        <v>1.8513539886059391</v>
      </c>
    </row>
    <row r="100" spans="2:14">
      <c r="B100" s="123" t="str">
        <f>Configs!$C$6</f>
        <v>PN-R-Buy</v>
      </c>
      <c r="C100" s="120">
        <v>1</v>
      </c>
      <c r="D100" s="72">
        <f t="dataTable" ref="D100:N119" dt2D="0" dtr="0" r1="D7"/>
        <v>64.41763386403566</v>
      </c>
      <c r="E100" s="60">
        <v>0.2563330631384346</v>
      </c>
      <c r="F100" s="60">
        <v>0.2928716880344682</v>
      </c>
      <c r="G100" s="113">
        <v>5.287812690851769</v>
      </c>
      <c r="H100" s="72">
        <v>101.228</v>
      </c>
      <c r="I100" s="72">
        <v>68.02800000000001</v>
      </c>
      <c r="J100" s="72">
        <v>177.8112</v>
      </c>
      <c r="K100" s="72">
        <v>29.91743685940368</v>
      </c>
      <c r="L100" s="60">
        <v>0.1682539505914344</v>
      </c>
      <c r="M100" s="63">
        <v>99.46630976683771</v>
      </c>
      <c r="N100" s="106">
        <v>1.515705463404831</v>
      </c>
    </row>
    <row r="101" spans="2:14">
      <c r="B101" s="123" t="str">
        <f>Configs!$C$7</f>
        <v>PN-R-Toll</v>
      </c>
      <c r="C101" s="120">
        <v>2</v>
      </c>
      <c r="D101" s="72">
        <v>89.59810670347279</v>
      </c>
      <c r="E101" s="60">
        <v>0.2863643099700878</v>
      </c>
      <c r="F101" s="60">
        <v>0.3293080970961098</v>
      </c>
      <c r="G101" s="113">
        <v>4.723711150992632</v>
      </c>
      <c r="H101" s="72">
        <v>101.228</v>
      </c>
      <c r="I101" s="72">
        <v>68.02800000000001</v>
      </c>
      <c r="J101" s="72">
        <v>177.8112</v>
      </c>
      <c r="K101" s="72">
        <v>33.68388291191275</v>
      </c>
      <c r="L101" s="60">
        <v>0.1894362273687639</v>
      </c>
      <c r="M101" s="63">
        <v>95.96828243166125</v>
      </c>
      <c r="N101" s="106">
        <v>1.851353988605939</v>
      </c>
    </row>
    <row r="102" spans="2:14">
      <c r="B102" s="123" t="str">
        <f>Configs!$C$8</f>
        <v>PN-R-InH</v>
      </c>
      <c r="C102" s="120">
        <v>3</v>
      </c>
      <c r="D102" s="72">
        <v>39.97744078726686</v>
      </c>
      <c r="E102" s="60">
        <v>0.209261582972915</v>
      </c>
      <c r="F102" s="60">
        <v>0.2362105858618871</v>
      </c>
      <c r="G102" s="113">
        <v>6.825033365604968</v>
      </c>
      <c r="H102" s="72">
        <v>122.37925</v>
      </c>
      <c r="I102" s="72">
        <v>80.27924999999999</v>
      </c>
      <c r="J102" s="72">
        <v>206.58645</v>
      </c>
      <c r="K102" s="72">
        <v>28.30057050272311</v>
      </c>
      <c r="L102" s="60">
        <v>0.1369914169236323</v>
      </c>
      <c r="M102" s="63">
        <v>104.2457133021275</v>
      </c>
      <c r="N102" s="106">
        <v>0.8739436089111439</v>
      </c>
    </row>
    <row r="103" spans="2:14">
      <c r="B103" s="123" t="str">
        <f>Configs!$C$9</f>
        <v>PN-O-Toll</v>
      </c>
      <c r="C103" s="120">
        <v>4</v>
      </c>
      <c r="D103" s="72">
        <v>84.79579931172951</v>
      </c>
      <c r="E103" s="60">
        <v>0.1894352779098542</v>
      </c>
      <c r="F103" s="60">
        <v>0.2430253656880843</v>
      </c>
      <c r="G103" s="113">
        <v>7.475795711221531</v>
      </c>
      <c r="H103" s="72">
        <v>277.1655</v>
      </c>
      <c r="I103" s="72">
        <v>125.5655</v>
      </c>
      <c r="J103" s="72">
        <v>177.8112</v>
      </c>
      <c r="K103" s="72">
        <v>48.51250791191275</v>
      </c>
      <c r="L103" s="60">
        <v>0.2728315646703512</v>
      </c>
      <c r="M103" s="63">
        <v>76.58423963486449</v>
      </c>
      <c r="N103" s="106">
        <v>1.058927299860645</v>
      </c>
    </row>
    <row r="104" spans="2:14">
      <c r="B104" s="123" t="str">
        <f>Configs!$C$10</f>
        <v>PN-R-Toll-Val</v>
      </c>
      <c r="C104" s="120">
        <v>5</v>
      </c>
      <c r="D104" s="72">
        <v>53.56540103854564</v>
      </c>
      <c r="E104" s="60">
        <v>0.2423589667572755</v>
      </c>
      <c r="F104" s="60">
        <v>0.2758663263378501</v>
      </c>
      <c r="G104" s="113">
        <v>5.747473591254649</v>
      </c>
      <c r="H104" s="72">
        <v>101.228</v>
      </c>
      <c r="I104" s="72">
        <v>68.02800000000001</v>
      </c>
      <c r="J104" s="72">
        <v>168.031584</v>
      </c>
      <c r="K104" s="72">
        <v>27.99449098224002</v>
      </c>
      <c r="L104" s="60">
        <v>0.1666025536142063</v>
      </c>
      <c r="M104" s="63">
        <v>106.8706781391736</v>
      </c>
      <c r="N104" s="106">
        <v>1.434118819815656</v>
      </c>
    </row>
    <row r="105" spans="2:14">
      <c r="B105" s="123" t="str">
        <f>Configs!$C$11</f>
        <v>PN-R-Toll-Prm</v>
      </c>
      <c r="C105" s="120">
        <v>6</v>
      </c>
      <c r="D105" s="72">
        <v>80.62891035897189</v>
      </c>
      <c r="E105" s="60">
        <v>0.2734636589218511</v>
      </c>
      <c r="F105" s="60">
        <v>0.3126003346492382</v>
      </c>
      <c r="G105" s="113">
        <v>5.009627665456273</v>
      </c>
      <c r="H105" s="72">
        <v>101.228</v>
      </c>
      <c r="I105" s="72">
        <v>68.02800000000001</v>
      </c>
      <c r="J105" s="72">
        <v>177.366672</v>
      </c>
      <c r="K105" s="72">
        <v>31.02213184973675</v>
      </c>
      <c r="L105" s="60">
        <v>0.1749039517961793</v>
      </c>
      <c r="M105" s="63">
        <v>93.49348356898082</v>
      </c>
      <c r="N105" s="106">
        <v>1.58494194757498</v>
      </c>
    </row>
    <row r="106" spans="2:14">
      <c r="B106" s="123" t="str">
        <f>Configs!$C$12</f>
        <v>PN-R-Toll-Cus</v>
      </c>
      <c r="C106" s="120">
        <v>7</v>
      </c>
      <c r="D106" s="72">
        <v>99.82774759484747</v>
      </c>
      <c r="E106" s="60">
        <v>0.2982309370315797</v>
      </c>
      <c r="F106" s="60">
        <v>0.3441186931267791</v>
      </c>
      <c r="G106" s="113">
        <v>4.556368067661774</v>
      </c>
      <c r="H106" s="72">
        <v>101.228</v>
      </c>
      <c r="I106" s="72">
        <v>68.02800000000001</v>
      </c>
      <c r="J106" s="72">
        <v>181.367424</v>
      </c>
      <c r="K106" s="72">
        <v>35.30759199330076</v>
      </c>
      <c r="L106" s="60">
        <v>0.1946743864725165</v>
      </c>
      <c r="M106" s="63">
        <v>94.53505034852431</v>
      </c>
      <c r="N106" s="106">
        <v>1.986578935430028</v>
      </c>
    </row>
    <row r="107" spans="2:14">
      <c r="B107" s="123" t="str">
        <f>Configs!$C$13</f>
        <v>SBR-R-Buy</v>
      </c>
      <c r="C107" s="120">
        <v>8</v>
      </c>
      <c r="D107" s="72">
        <v>158.0588248280302</v>
      </c>
      <c r="E107" s="60">
        <v>0.3245799843117538</v>
      </c>
      <c r="F107" s="60">
        <v>0.3733304918231078</v>
      </c>
      <c r="G107" s="113">
        <v>4.254871163158255</v>
      </c>
      <c r="H107" s="72">
        <v>129.8836</v>
      </c>
      <c r="I107" s="72">
        <v>90.1836</v>
      </c>
      <c r="J107" s="72">
        <v>245.3379005699999</v>
      </c>
      <c r="K107" s="72">
        <v>49.71203449389458</v>
      </c>
      <c r="L107" s="60">
        <v>0.2026268031902014</v>
      </c>
      <c r="M107" s="63">
        <v>113.4704628287263</v>
      </c>
      <c r="N107" s="106">
        <v>2.385819935308831</v>
      </c>
    </row>
    <row r="108" spans="2:14">
      <c r="B108" s="123" t="str">
        <f>Configs!$C$14</f>
        <v>SBR-R-Toll</v>
      </c>
      <c r="C108" s="120">
        <v>9</v>
      </c>
      <c r="D108" s="72">
        <v>192.743673477814</v>
      </c>
      <c r="E108" s="60">
        <v>0.3518814182719267</v>
      </c>
      <c r="F108" s="60">
        <v>0.4069988489794623</v>
      </c>
      <c r="G108" s="113">
        <v>3.97426890595803</v>
      </c>
      <c r="H108" s="72">
        <v>129.8836</v>
      </c>
      <c r="I108" s="72">
        <v>90.1836</v>
      </c>
      <c r="J108" s="72">
        <v>245.3379005699999</v>
      </c>
      <c r="K108" s="72">
        <v>54.90884980773729</v>
      </c>
      <c r="L108" s="60">
        <v>0.223809079967531</v>
      </c>
      <c r="M108" s="63">
        <v>109.5851893106568</v>
      </c>
      <c r="N108" s="106">
        <v>2.740061715134792</v>
      </c>
    </row>
    <row r="109" spans="2:14">
      <c r="B109" s="123" t="str">
        <f>Configs!$C$15</f>
        <v>SBR-R-InH</v>
      </c>
      <c r="C109" s="120">
        <v>10</v>
      </c>
      <c r="D109" s="72">
        <v>140.0069041630407</v>
      </c>
      <c r="E109" s="60">
        <v>0.28330170968719</v>
      </c>
      <c r="F109" s="60">
        <v>0.321397845113186</v>
      </c>
      <c r="G109" s="113">
        <v>4.996537620374733</v>
      </c>
      <c r="H109" s="72">
        <v>153.00435</v>
      </c>
      <c r="I109" s="72">
        <v>104.10435</v>
      </c>
      <c r="J109" s="72">
        <v>274.1131505699999</v>
      </c>
      <c r="K109" s="72">
        <v>49.03773909417274</v>
      </c>
      <c r="L109" s="60">
        <v>0.1788959741340466</v>
      </c>
      <c r="M109" s="63">
        <v>117.8122877704271</v>
      </c>
      <c r="N109" s="106">
        <v>1.708305383843751</v>
      </c>
    </row>
    <row r="110" spans="2:14">
      <c r="B110" s="123" t="str">
        <f>Configs!$C$16</f>
        <v>SBR-O-Toll</v>
      </c>
      <c r="C110" s="120">
        <v>11</v>
      </c>
      <c r="D110" s="72">
        <v>223.5142806179558</v>
      </c>
      <c r="E110" s="60">
        <v>0.216965493068596</v>
      </c>
      <c r="F110" s="60">
        <v>0.2844555389818285</v>
      </c>
      <c r="G110" s="113">
        <v>6.705927105730691</v>
      </c>
      <c r="H110" s="72">
        <v>413.3356</v>
      </c>
      <c r="I110" s="72">
        <v>181.8356</v>
      </c>
      <c r="J110" s="72">
        <v>245.3379005699999</v>
      </c>
      <c r="K110" s="72">
        <v>82.1626498077373</v>
      </c>
      <c r="L110" s="60">
        <v>0.3348958706210768</v>
      </c>
      <c r="M110" s="63">
        <v>78.75262840029032</v>
      </c>
      <c r="N110" s="106">
        <v>1.269234754674737</v>
      </c>
    </row>
    <row r="111" spans="2:14">
      <c r="B111" s="123" t="str">
        <f>Configs!$C$17</f>
        <v>SBR-R-Toll-Cus</v>
      </c>
      <c r="C111" s="120">
        <v>12</v>
      </c>
      <c r="D111" s="72">
        <v>207.1677375193104</v>
      </c>
      <c r="E111" s="60">
        <v>0.3632174319317083</v>
      </c>
      <c r="F111" s="60">
        <v>0.4215082068752203</v>
      </c>
      <c r="G111" s="113">
        <v>3.851811090764105</v>
      </c>
      <c r="H111" s="72">
        <v>129.8836</v>
      </c>
      <c r="I111" s="72">
        <v>90.1836</v>
      </c>
      <c r="J111" s="72">
        <v>250.2446585813999</v>
      </c>
      <c r="K111" s="72">
        <v>57.20880598038053</v>
      </c>
      <c r="L111" s="60">
        <v>0.2286114968634648</v>
      </c>
      <c r="M111" s="63">
        <v>107.949348366807</v>
      </c>
      <c r="N111" s="106">
        <v>2.899516118159284</v>
      </c>
    </row>
    <row r="112" spans="2:14">
      <c r="B112" s="123" t="str">
        <f>Configs!$C$18</f>
        <v>GIFT-R-Buy</v>
      </c>
      <c r="C112" s="120">
        <v>13</v>
      </c>
      <c r="D112" s="72">
        <v>122.0897692689377</v>
      </c>
      <c r="E112" s="60">
        <v>0.3170524748206057</v>
      </c>
      <c r="F112" s="60">
        <v>0.3624978430106177</v>
      </c>
      <c r="G112" s="113">
        <v>4.587482726247216</v>
      </c>
      <c r="H112" s="72">
        <v>97.5531</v>
      </c>
      <c r="I112" s="72">
        <v>66.15309999999999</v>
      </c>
      <c r="J112" s="72">
        <v>171.1782072</v>
      </c>
      <c r="K112" s="72">
        <v>32.59244672419569</v>
      </c>
      <c r="L112" s="60">
        <v>0.1904006780846556</v>
      </c>
      <c r="M112" s="63">
        <v>111.4050112551962</v>
      </c>
      <c r="N112" s="106">
        <v>1.680001248739088</v>
      </c>
    </row>
    <row r="113" spans="2:14">
      <c r="B113" s="123" t="str">
        <f>Configs!$C$19</f>
        <v>GIFT-R-Toll</v>
      </c>
      <c r="C113" s="120">
        <v>14</v>
      </c>
      <c r="D113" s="72">
        <v>148.34342206592</v>
      </c>
      <c r="E113" s="60">
        <v>0.3424546200942723</v>
      </c>
      <c r="F113" s="60">
        <v>0.3929590635409077</v>
      </c>
      <c r="G113" s="113">
        <v>4.300232603610981</v>
      </c>
      <c r="H113" s="72">
        <v>97.5531</v>
      </c>
      <c r="I113" s="72">
        <v>66.15309999999999</v>
      </c>
      <c r="J113" s="72">
        <v>171.1782072</v>
      </c>
      <c r="K113" s="72">
        <v>36.21839088735316</v>
      </c>
      <c r="L113" s="60">
        <v>0.2115829548619852</v>
      </c>
      <c r="M113" s="63">
        <v>107.6524076700556</v>
      </c>
      <c r="N113" s="106">
        <v>2.008956609396337</v>
      </c>
    </row>
    <row r="114" spans="2:14">
      <c r="B114" s="123" t="str">
        <f>Configs!$C$20</f>
        <v>GIFT-R-InH</v>
      </c>
      <c r="C114" s="120">
        <v>15</v>
      </c>
      <c r="D114" s="72">
        <v>98.69281569195653</v>
      </c>
      <c r="E114" s="60">
        <v>0.2642672782595881</v>
      </c>
      <c r="F114" s="60">
        <v>0.3002642830642177</v>
      </c>
      <c r="G114" s="113">
        <v>5.833061827403394</v>
      </c>
      <c r="H114" s="72">
        <v>119.01635</v>
      </c>
      <c r="I114" s="72">
        <v>78.71634999999999</v>
      </c>
      <c r="J114" s="72">
        <v>205.7085072</v>
      </c>
      <c r="K114" s="72">
        <v>30.78116754784464</v>
      </c>
      <c r="L114" s="60">
        <v>0.1496348788235465</v>
      </c>
      <c r="M114" s="63">
        <v>117.5056815443673</v>
      </c>
      <c r="N114" s="106">
        <v>0.9421808732244632</v>
      </c>
    </row>
    <row r="115" spans="2:14">
      <c r="B115" s="123" t="str">
        <f>Configs!$C$21</f>
        <v>GIFT-O-Toll</v>
      </c>
      <c r="C115" s="120">
        <v>16</v>
      </c>
      <c r="D115" s="72">
        <v>184.8917097107206</v>
      </c>
      <c r="E115" s="60">
        <v>0.2494439536683157</v>
      </c>
      <c r="F115" s="60">
        <v>0.3256228811470879</v>
      </c>
      <c r="G115" s="113">
        <v>6.032618199967274</v>
      </c>
      <c r="H115" s="72">
        <v>220.7946</v>
      </c>
      <c r="I115" s="72">
        <v>102.6946</v>
      </c>
      <c r="J115" s="72">
        <v>171.1782072</v>
      </c>
      <c r="K115" s="72">
        <v>49.01841588735316</v>
      </c>
      <c r="L115" s="60">
        <v>0.2863589745982171</v>
      </c>
      <c r="M115" s="63">
        <v>88.36048085071471</v>
      </c>
      <c r="N115" s="106">
        <v>1.316572597555073</v>
      </c>
    </row>
    <row r="116" spans="2:14">
      <c r="B116" s="123" t="str">
        <f>Configs!$C$22</f>
        <v>GIFT-R-Toll-Cus</v>
      </c>
      <c r="C116" s="120">
        <v>17</v>
      </c>
      <c r="D116" s="72">
        <v>159.4996536006258</v>
      </c>
      <c r="E116" s="60">
        <v>0.3532753886286515</v>
      </c>
      <c r="F116" s="60">
        <v>0.4061263562099803</v>
      </c>
      <c r="G116" s="113">
        <v>4.182602155447045</v>
      </c>
      <c r="H116" s="72">
        <v>97.5531</v>
      </c>
      <c r="I116" s="72">
        <v>66.15309999999999</v>
      </c>
      <c r="J116" s="72">
        <v>174.6017713440001</v>
      </c>
      <c r="K116" s="72">
        <v>37.85640316887373</v>
      </c>
      <c r="L116" s="60">
        <v>0.2168156879364592</v>
      </c>
      <c r="M116" s="63">
        <v>106.0388334545033</v>
      </c>
      <c r="N116" s="106">
        <v>2.165723428879625</v>
      </c>
    </row>
    <row r="117" spans="2:14">
      <c r="B117" s="123" t="str">
        <f>Configs!$C$23</f>
        <v>SAN-R-Toll</v>
      </c>
      <c r="C117" s="120">
        <v>18</v>
      </c>
      <c r="D117" s="72">
        <v>-10.18167885613484</v>
      </c>
      <c r="E117" s="60">
        <v>0.1420606704971529</v>
      </c>
      <c r="F117" s="60">
        <v>0.1584014703871875</v>
      </c>
      <c r="G117" s="113">
        <v>8.559027242083761</v>
      </c>
      <c r="H117" s="72">
        <v>87.21619999999999</v>
      </c>
      <c r="I117" s="72">
        <v>57.11619999999998</v>
      </c>
      <c r="J117" s="72">
        <v>121.672175625</v>
      </c>
      <c r="K117" s="72">
        <v>10.66214832644344</v>
      </c>
      <c r="L117" s="60">
        <v>0.0876301280196118</v>
      </c>
      <c r="M117" s="63">
        <v>103.5032405783071</v>
      </c>
      <c r="N117" s="106">
        <v>-0.01596086887344966</v>
      </c>
    </row>
    <row r="118" spans="2:14">
      <c r="B118" s="123" t="str">
        <f>Configs!$C$24</f>
        <v>SAN-R-InH</v>
      </c>
      <c r="C118" s="120">
        <v>19</v>
      </c>
      <c r="D118" s="72">
        <v>-56.12567210240221</v>
      </c>
      <c r="E118" s="60">
        <v>0.07114691884665834</v>
      </c>
      <c r="F118" s="60">
        <v>0.03941848850545289</v>
      </c>
      <c r="G118" s="113">
        <v>99</v>
      </c>
      <c r="H118" s="72">
        <v>106.46095</v>
      </c>
      <c r="I118" s="72">
        <v>67.96095</v>
      </c>
      <c r="J118" s="72">
        <v>159.080000625</v>
      </c>
      <c r="K118" s="72">
        <v>6.245407512155876</v>
      </c>
      <c r="L118" s="60">
        <v>0.03925953914771601</v>
      </c>
      <c r="M118" s="63">
        <v>111.3579980180858</v>
      </c>
      <c r="N118" s="106">
        <v>-0.3950571700309753</v>
      </c>
    </row>
    <row r="119" spans="2:14">
      <c r="B119" s="123" t="str">
        <f>Configs!$C$25</f>
        <v>SAN-O-Toll</v>
      </c>
      <c r="C119" s="120">
        <v>20</v>
      </c>
      <c r="D119" s="72">
        <v>-6.792522846602068</v>
      </c>
      <c r="E119" s="60">
        <v>0.140986129480241</v>
      </c>
      <c r="F119" s="60">
        <v>0.1701924933044389</v>
      </c>
      <c r="G119" s="113">
        <v>9.160447091758368</v>
      </c>
      <c r="H119" s="72">
        <v>152.4137</v>
      </c>
      <c r="I119" s="72">
        <v>74.81369999999998</v>
      </c>
      <c r="J119" s="72">
        <v>121.672175625</v>
      </c>
      <c r="K119" s="72">
        <v>17.11177332644344</v>
      </c>
      <c r="L119" s="60">
        <v>0.1406383442931342</v>
      </c>
      <c r="M119" s="63">
        <v>92.75295082892681</v>
      </c>
      <c r="N119" s="106">
        <v>0.3618640516730099</v>
      </c>
    </row>
    <row r="121" spans="2:14" ht="18" customHeight="1">
      <c r="B121" s="4" t="s">
        <v>769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2:14">
      <c r="B122" s="2" t="s">
        <v>759</v>
      </c>
    </row>
    <row r="123" spans="2:14" ht="30" customHeight="1">
      <c r="B123" s="32" t="s">
        <v>770</v>
      </c>
      <c r="C123" s="115"/>
      <c r="D123" s="33" t="s">
        <v>106</v>
      </c>
      <c r="E123" s="33" t="s">
        <v>80</v>
      </c>
      <c r="F123" s="33" t="s">
        <v>107</v>
      </c>
    </row>
    <row r="124" spans="2:14">
      <c r="B124" s="2" t="s">
        <v>756</v>
      </c>
      <c r="C124" s="116">
        <f>DCF!$D$61</f>
        <v>89.5981067034728</v>
      </c>
      <c r="D124" s="120">
        <v>1</v>
      </c>
      <c r="E124" s="120">
        <v>2</v>
      </c>
      <c r="F124" s="120">
        <v>3</v>
      </c>
    </row>
    <row r="125" spans="2:14">
      <c r="B125" s="123" t="str">
        <f>Configs!$C$6</f>
        <v>PN-R-Buy</v>
      </c>
      <c r="C125" s="120">
        <v>1</v>
      </c>
      <c r="D125" s="72">
        <f t="dataTable" ref="D125:F144" dt2D="1" dtr="1" r1="D6" r2="D7"/>
        <v>252.5477198866523</v>
      </c>
      <c r="E125" s="72">
        <v>64.41763386403566</v>
      </c>
      <c r="F125" s="72">
        <v>-202.2666471397579</v>
      </c>
    </row>
    <row r="126" spans="2:14">
      <c r="B126" s="123" t="str">
        <f>Configs!$C$7</f>
        <v>PN-R-Toll</v>
      </c>
      <c r="C126" s="120">
        <v>2</v>
      </c>
      <c r="D126" s="72">
        <v>289.2648565810483</v>
      </c>
      <c r="E126" s="72">
        <v>89.59810670347279</v>
      </c>
      <c r="F126" s="72">
        <v>-187.2728269283619</v>
      </c>
    </row>
    <row r="127" spans="2:14">
      <c r="B127" s="123" t="str">
        <f>Configs!$C$8</f>
        <v>PN-R-InH</v>
      </c>
      <c r="C127" s="120">
        <v>3</v>
      </c>
      <c r="D127" s="72">
        <v>273.4077065130351</v>
      </c>
      <c r="E127" s="72">
        <v>39.97744078726686</v>
      </c>
      <c r="F127" s="72">
        <v>-284.1144674553834</v>
      </c>
    </row>
    <row r="128" spans="2:14">
      <c r="B128" s="123" t="str">
        <f>Configs!$C$9</f>
        <v>PN-O-Toll</v>
      </c>
      <c r="C128" s="120">
        <v>4</v>
      </c>
      <c r="D128" s="72">
        <v>322.2755816131154</v>
      </c>
      <c r="E128" s="72">
        <v>84.79579931172951</v>
      </c>
      <c r="F128" s="72">
        <v>-218.5319742013006</v>
      </c>
    </row>
    <row r="129" spans="2:6">
      <c r="B129" s="123" t="str">
        <f>Configs!$C$10</f>
        <v>PN-R-Toll-Val</v>
      </c>
      <c r="C129" s="120">
        <v>5</v>
      </c>
      <c r="D129" s="72">
        <v>237.4984501829891</v>
      </c>
      <c r="E129" s="72">
        <v>53.56540103854564</v>
      </c>
      <c r="F129" s="72">
        <v>-205.0090316383341</v>
      </c>
    </row>
    <row r="130" spans="2:6">
      <c r="B130" s="123" t="str">
        <f>Configs!$C$11</f>
        <v>PN-R-Toll-Prm</v>
      </c>
      <c r="C130" s="120">
        <v>6</v>
      </c>
      <c r="D130" s="72">
        <v>282.566122969535</v>
      </c>
      <c r="E130" s="72">
        <v>80.62891035897189</v>
      </c>
      <c r="F130" s="72">
        <v>-206.3172390397251</v>
      </c>
    </row>
    <row r="131" spans="2:6">
      <c r="B131" s="123" t="str">
        <f>Configs!$C$12</f>
        <v>PN-R-Toll-Cus</v>
      </c>
      <c r="C131" s="120">
        <v>7</v>
      </c>
      <c r="D131" s="72">
        <v>304.1990138782893</v>
      </c>
      <c r="E131" s="72">
        <v>99.82774759484747</v>
      </c>
      <c r="F131" s="72">
        <v>-180.8845764489909</v>
      </c>
    </row>
    <row r="132" spans="2:6">
      <c r="B132" s="123" t="str">
        <f>Configs!$C$13</f>
        <v>SBR-R-Buy</v>
      </c>
      <c r="C132" s="120">
        <v>8</v>
      </c>
      <c r="D132" s="72">
        <v>428.6679101787872</v>
      </c>
      <c r="E132" s="72">
        <v>158.0588248280302</v>
      </c>
      <c r="F132" s="72">
        <v>-196.014877773436</v>
      </c>
    </row>
    <row r="133" spans="2:6">
      <c r="B133" s="123" t="str">
        <f>Configs!$C$14</f>
        <v>SBR-R-Toll</v>
      </c>
      <c r="C133" s="120">
        <v>9</v>
      </c>
      <c r="D133" s="72">
        <v>479.1994131061571</v>
      </c>
      <c r="E133" s="72">
        <v>192.743673477814</v>
      </c>
      <c r="F133" s="72">
        <v>-175.3551801084546</v>
      </c>
    </row>
    <row r="134" spans="2:6">
      <c r="B134" s="123" t="str">
        <f>Configs!$C$15</f>
        <v>SBR-R-InH</v>
      </c>
      <c r="C134" s="120">
        <v>10</v>
      </c>
      <c r="D134" s="72">
        <v>461.7190831259448</v>
      </c>
      <c r="E134" s="72">
        <v>140.0069041630407</v>
      </c>
      <c r="F134" s="72">
        <v>-278.1202010368283</v>
      </c>
    </row>
    <row r="135" spans="2:6">
      <c r="B135" s="123" t="str">
        <f>Configs!$C$16</f>
        <v>SBR-O-Toll</v>
      </c>
      <c r="C135" s="120">
        <v>11</v>
      </c>
      <c r="D135" s="72">
        <v>573.2558610714275</v>
      </c>
      <c r="E135" s="72">
        <v>223.5142806179558</v>
      </c>
      <c r="F135" s="72">
        <v>-195.7958892578347</v>
      </c>
    </row>
    <row r="136" spans="2:6">
      <c r="B136" s="123" t="str">
        <f>Configs!$C$17</f>
        <v>SBR-R-Toll-Cus</v>
      </c>
      <c r="C136" s="120">
        <v>12</v>
      </c>
      <c r="D136" s="72">
        <v>500.2539777674693</v>
      </c>
      <c r="E136" s="72">
        <v>207.1677375193104</v>
      </c>
      <c r="F136" s="72">
        <v>-166.2300133367429</v>
      </c>
    </row>
    <row r="137" spans="2:6">
      <c r="B137" s="123" t="str">
        <f>Configs!$C$18</f>
        <v>GIFT-R-Buy</v>
      </c>
      <c r="C137" s="120">
        <v>13</v>
      </c>
      <c r="D137" s="72">
        <v>323.9010855105096</v>
      </c>
      <c r="E137" s="72">
        <v>122.0897692689377</v>
      </c>
      <c r="F137" s="72">
        <v>-119.5130586703929</v>
      </c>
    </row>
    <row r="138" spans="2:6">
      <c r="B138" s="123" t="str">
        <f>Configs!$C$19</f>
        <v>GIFT-R-Toll</v>
      </c>
      <c r="C138" s="120">
        <v>14</v>
      </c>
      <c r="D138" s="72">
        <v>362.2121950507354</v>
      </c>
      <c r="E138" s="72">
        <v>148.34342206592</v>
      </c>
      <c r="F138" s="72">
        <v>-103.7915514893955</v>
      </c>
    </row>
    <row r="139" spans="2:6">
      <c r="B139" s="123" t="str">
        <f>Configs!$C$20</f>
        <v>GIFT-R-InH</v>
      </c>
      <c r="C139" s="120">
        <v>15</v>
      </c>
      <c r="D139" s="72">
        <v>351.8238806129182</v>
      </c>
      <c r="E139" s="72">
        <v>98.69281569195653</v>
      </c>
      <c r="F139" s="72">
        <v>-202.2241226427558</v>
      </c>
    </row>
    <row r="140" spans="2:6">
      <c r="B140" s="123" t="str">
        <f>Configs!$C$21</f>
        <v>GIFT-O-Toll</v>
      </c>
      <c r="C140" s="120">
        <v>16</v>
      </c>
      <c r="D140" s="72">
        <v>439.4917302508712</v>
      </c>
      <c r="E140" s="72">
        <v>184.8917097107206</v>
      </c>
      <c r="F140" s="72">
        <v>-103.1491970968084</v>
      </c>
    </row>
    <row r="141" spans="2:6">
      <c r="B141" s="123" t="str">
        <f>Configs!$C$22</f>
        <v>GIFT-R-Toll-Cus</v>
      </c>
      <c r="C141" s="120">
        <v>17</v>
      </c>
      <c r="D141" s="72">
        <v>378.4530249493334</v>
      </c>
      <c r="E141" s="72">
        <v>159.4996536006258</v>
      </c>
      <c r="F141" s="72">
        <v>-96.72285063879876</v>
      </c>
    </row>
    <row r="142" spans="2:6">
      <c r="B142" s="123" t="str">
        <f>Configs!$C$23</f>
        <v>SAN-R-Toll</v>
      </c>
      <c r="C142" s="120">
        <v>18</v>
      </c>
      <c r="D142" s="72">
        <v>131.7528413180069</v>
      </c>
      <c r="E142" s="72">
        <v>-10.18167885613484</v>
      </c>
      <c r="F142" s="72">
        <v>-201.296943594369</v>
      </c>
    </row>
    <row r="143" spans="2:6">
      <c r="B143" s="123" t="str">
        <f>Configs!$C$24</f>
        <v>SAN-R-InH</v>
      </c>
      <c r="C143" s="120">
        <v>19</v>
      </c>
      <c r="D143" s="72">
        <v>128.578659405962</v>
      </c>
      <c r="E143" s="72">
        <v>-56.12567210240221</v>
      </c>
      <c r="F143" s="72">
        <v>-292.0283208918679</v>
      </c>
    </row>
    <row r="144" spans="2:6">
      <c r="B144" s="123" t="str">
        <f>Configs!$C$25</f>
        <v>SAN-O-Toll</v>
      </c>
      <c r="C144" s="120">
        <v>20</v>
      </c>
      <c r="D144" s="72">
        <v>155.5585883011537</v>
      </c>
      <c r="E144" s="72">
        <v>-6.792522846602068</v>
      </c>
      <c r="F144" s="72">
        <v>-213.8317663302041</v>
      </c>
    </row>
    <row r="145" spans="2:6">
      <c r="B145" s="2" t="s">
        <v>680</v>
      </c>
    </row>
    <row r="146" spans="2:6" ht="30" customHeight="1">
      <c r="B146" s="32" t="s">
        <v>770</v>
      </c>
      <c r="C146" s="115"/>
      <c r="D146" s="33" t="s">
        <v>106</v>
      </c>
      <c r="E146" s="33" t="s">
        <v>80</v>
      </c>
      <c r="F146" s="33" t="s">
        <v>107</v>
      </c>
    </row>
    <row r="147" spans="2:6">
      <c r="B147" s="2" t="s">
        <v>756</v>
      </c>
      <c r="C147" s="117">
        <f>DCF!$D$68</f>
        <v>0.32930809709610975</v>
      </c>
      <c r="D147" s="120">
        <v>1</v>
      </c>
      <c r="E147" s="120">
        <v>2</v>
      </c>
      <c r="F147" s="120">
        <v>3</v>
      </c>
    </row>
    <row r="148" spans="2:6">
      <c r="B148" s="123" t="str">
        <f>Configs!$C$6</f>
        <v>PN-R-Buy</v>
      </c>
      <c r="C148" s="120">
        <v>1</v>
      </c>
      <c r="D148" s="60">
        <f t="dataTable" ref="D148:F167" dt2D="1" dtr="1" r1="D6" r2="D7"/>
        <v>0.5619694629829937</v>
      </c>
      <c r="E148" s="60">
        <v>0.2928716880344682</v>
      </c>
      <c r="F148" s="121" t="s">
        <v>757</v>
      </c>
    </row>
    <row r="149" spans="2:6">
      <c r="B149" s="123" t="str">
        <f>Configs!$C$7</f>
        <v>PN-R-Toll</v>
      </c>
      <c r="C149" s="120">
        <v>2</v>
      </c>
      <c r="D149" s="60">
        <v>0.6077626096120488</v>
      </c>
      <c r="E149" s="60">
        <v>0.3293080970961098</v>
      </c>
      <c r="F149" s="121" t="s">
        <v>757</v>
      </c>
    </row>
    <row r="150" spans="2:6">
      <c r="B150" s="123" t="str">
        <f>Configs!$C$8</f>
        <v>PN-R-InH</v>
      </c>
      <c r="C150" s="120">
        <v>3</v>
      </c>
      <c r="D150" s="60">
        <v>0.4957138036198289</v>
      </c>
      <c r="E150" s="60">
        <v>0.2362105858618871</v>
      </c>
      <c r="F150" s="121" t="s">
        <v>757</v>
      </c>
    </row>
    <row r="151" spans="2:6">
      <c r="B151" s="123" t="str">
        <f>Configs!$C$9</f>
        <v>PN-O-Toll</v>
      </c>
      <c r="C151" s="120">
        <v>4</v>
      </c>
      <c r="D151" s="60">
        <v>0.3879720968100921</v>
      </c>
      <c r="E151" s="60">
        <v>0.2430253656880843</v>
      </c>
      <c r="F151" s="121" t="s">
        <v>757</v>
      </c>
    </row>
    <row r="152" spans="2:6">
      <c r="B152" s="123" t="str">
        <f>Configs!$C$10</f>
        <v>PN-R-Toll-Val</v>
      </c>
      <c r="C152" s="120">
        <v>5</v>
      </c>
      <c r="D152" s="60">
        <v>0.5430757775771802</v>
      </c>
      <c r="E152" s="60">
        <v>0.2758663263378501</v>
      </c>
      <c r="F152" s="121" t="s">
        <v>757</v>
      </c>
    </row>
    <row r="153" spans="2:6">
      <c r="B153" s="123" t="str">
        <f>Configs!$C$11</f>
        <v>PN-R-Toll-Prm</v>
      </c>
      <c r="C153" s="120">
        <v>6</v>
      </c>
      <c r="D153" s="60">
        <v>0.5912332467378874</v>
      </c>
      <c r="E153" s="60">
        <v>0.3126003346492382</v>
      </c>
      <c r="F153" s="121" t="s">
        <v>757</v>
      </c>
    </row>
    <row r="154" spans="2:6">
      <c r="B154" s="123" t="str">
        <f>Configs!$C$12</f>
        <v>PN-R-Toll-Cus</v>
      </c>
      <c r="C154" s="120">
        <v>7</v>
      </c>
      <c r="D154" s="60">
        <v>0.6264923324472215</v>
      </c>
      <c r="E154" s="60">
        <v>0.3441186931267791</v>
      </c>
      <c r="F154" s="121" t="s">
        <v>757</v>
      </c>
    </row>
    <row r="155" spans="2:6">
      <c r="B155" s="123" t="str">
        <f>Configs!$C$13</f>
        <v>SBR-R-Buy</v>
      </c>
      <c r="C155" s="120">
        <v>8</v>
      </c>
      <c r="D155" s="60">
        <v>0.6479665568777867</v>
      </c>
      <c r="E155" s="60">
        <v>0.3733304918231078</v>
      </c>
      <c r="F155" s="121" t="s">
        <v>757</v>
      </c>
    </row>
    <row r="156" spans="2:6">
      <c r="B156" s="123" t="str">
        <f>Configs!$C$14</f>
        <v>SBR-R-Toll</v>
      </c>
      <c r="C156" s="120">
        <v>9</v>
      </c>
      <c r="D156" s="60">
        <v>0.6924816648188744</v>
      </c>
      <c r="E156" s="60">
        <v>0.4069988489794623</v>
      </c>
      <c r="F156" s="121" t="s">
        <v>757</v>
      </c>
    </row>
    <row r="157" spans="2:6">
      <c r="B157" s="123" t="str">
        <f>Configs!$C$15</f>
        <v>SBR-R-InH</v>
      </c>
      <c r="C157" s="120">
        <v>10</v>
      </c>
      <c r="D157" s="60">
        <v>0.5852002221502286</v>
      </c>
      <c r="E157" s="60">
        <v>0.321397845113186</v>
      </c>
      <c r="F157" s="121" t="s">
        <v>757</v>
      </c>
    </row>
    <row r="158" spans="2:6">
      <c r="B158" s="123" t="str">
        <f>Configs!$C$16</f>
        <v>SBR-O-Toll</v>
      </c>
      <c r="C158" s="120">
        <v>11</v>
      </c>
      <c r="D158" s="60">
        <v>0.4175245816264476</v>
      </c>
      <c r="E158" s="60">
        <v>0.2844555389818285</v>
      </c>
      <c r="F158" s="60">
        <v>-0.02000839006777956</v>
      </c>
    </row>
    <row r="159" spans="2:6">
      <c r="B159" s="123" t="str">
        <f>Configs!$C$17</f>
        <v>SBR-R-Toll-Cus</v>
      </c>
      <c r="C159" s="120">
        <v>12</v>
      </c>
      <c r="D159" s="60">
        <v>0.7119207498894761</v>
      </c>
      <c r="E159" s="60">
        <v>0.4215082068752203</v>
      </c>
      <c r="F159" s="121" t="s">
        <v>757</v>
      </c>
    </row>
    <row r="160" spans="2:6">
      <c r="B160" s="123" t="str">
        <f>Configs!$C$18</f>
        <v>GIFT-R-Buy</v>
      </c>
      <c r="C160" s="120">
        <v>13</v>
      </c>
      <c r="D160" s="60">
        <v>0.6084804330722557</v>
      </c>
      <c r="E160" s="60">
        <v>0.3624978430106177</v>
      </c>
      <c r="F160" s="121" t="s">
        <v>757</v>
      </c>
    </row>
    <row r="161" spans="2:12">
      <c r="B161" s="123" t="str">
        <f>Configs!$C$19</f>
        <v>GIFT-R-Toll</v>
      </c>
      <c r="C161" s="120">
        <v>14</v>
      </c>
      <c r="D161" s="60">
        <v>0.6497938556448786</v>
      </c>
      <c r="E161" s="60">
        <v>0.3929590635409077</v>
      </c>
      <c r="F161" s="121" t="s">
        <v>757</v>
      </c>
    </row>
    <row r="162" spans="2:12">
      <c r="B162" s="123" t="str">
        <f>Configs!$C$20</f>
        <v>GIFT-R-InH</v>
      </c>
      <c r="C162" s="120">
        <v>15</v>
      </c>
      <c r="D162" s="60">
        <v>0.5354524449003066</v>
      </c>
      <c r="E162" s="60">
        <v>0.3002642830642177</v>
      </c>
      <c r="F162" s="121" t="s">
        <v>757</v>
      </c>
    </row>
    <row r="163" spans="2:12">
      <c r="B163" s="123" t="str">
        <f>Configs!$C$21</f>
        <v>GIFT-O-Toll</v>
      </c>
      <c r="C163" s="120">
        <v>16</v>
      </c>
      <c r="D163" s="60">
        <v>0.4826194575375372</v>
      </c>
      <c r="E163" s="60">
        <v>0.3256228811470879</v>
      </c>
      <c r="F163" s="60">
        <v>0.007157890429805564</v>
      </c>
    </row>
    <row r="164" spans="2:12">
      <c r="B164" s="123" t="str">
        <f>Configs!$C$22</f>
        <v>GIFT-R-Toll-Cus</v>
      </c>
      <c r="C164" s="120">
        <v>17</v>
      </c>
      <c r="D164" s="60">
        <v>0.6680689395487636</v>
      </c>
      <c r="E164" s="60">
        <v>0.4061263562099803</v>
      </c>
      <c r="F164" s="121" t="s">
        <v>757</v>
      </c>
    </row>
    <row r="165" spans="2:12">
      <c r="B165" s="123" t="str">
        <f>Configs!$C$23</f>
        <v>SAN-R-Toll</v>
      </c>
      <c r="C165" s="120">
        <v>18</v>
      </c>
      <c r="D165" s="60">
        <v>0.3892059397654877</v>
      </c>
      <c r="E165" s="60">
        <v>0.1584014703871875</v>
      </c>
      <c r="F165" s="121" t="s">
        <v>757</v>
      </c>
    </row>
    <row r="166" spans="2:12">
      <c r="B166" s="123" t="str">
        <f>Configs!$C$24</f>
        <v>SAN-R-InH</v>
      </c>
      <c r="C166" s="120">
        <v>19</v>
      </c>
      <c r="D166" s="60">
        <v>0.3359982170044484</v>
      </c>
      <c r="E166" s="60">
        <v>0.03941848850545289</v>
      </c>
      <c r="F166" s="121" t="s">
        <v>757</v>
      </c>
    </row>
    <row r="167" spans="2:12">
      <c r="B167" s="123" t="str">
        <f>Configs!$C$25</f>
        <v>SAN-O-Toll</v>
      </c>
      <c r="C167" s="120">
        <v>20</v>
      </c>
      <c r="D167" s="60">
        <v>0.3458769498951909</v>
      </c>
      <c r="E167" s="60">
        <v>0.1701924933044389</v>
      </c>
      <c r="F167" s="121" t="s">
        <v>757</v>
      </c>
    </row>
    <row r="169" spans="2:12" ht="18" customHeight="1">
      <c r="B169" s="4" t="s">
        <v>771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2:12">
      <c r="B170" s="2" t="s">
        <v>772</v>
      </c>
    </row>
    <row r="171" spans="2:12" ht="30" customHeight="1">
      <c r="B171" s="32" t="s">
        <v>773</v>
      </c>
      <c r="C171" s="115"/>
      <c r="D171" s="33" t="s">
        <v>774</v>
      </c>
      <c r="E171" s="33" t="s">
        <v>775</v>
      </c>
      <c r="F171" s="33" t="s">
        <v>776</v>
      </c>
      <c r="G171" s="33" t="s">
        <v>777</v>
      </c>
      <c r="H171" s="33" t="s">
        <v>778</v>
      </c>
    </row>
    <row r="172" spans="2:12">
      <c r="B172" s="2" t="s">
        <v>756</v>
      </c>
      <c r="C172" s="116">
        <f>DCF!$D$61</f>
        <v>89.5981067034728</v>
      </c>
      <c r="D172" s="120">
        <v>0.03</v>
      </c>
      <c r="E172" s="120">
        <v>0.035</v>
      </c>
      <c r="F172" s="120">
        <v>0.04</v>
      </c>
      <c r="G172" s="120">
        <v>0.045</v>
      </c>
      <c r="H172" s="120">
        <v>0.05</v>
      </c>
    </row>
    <row r="173" spans="2:12">
      <c r="B173" s="7" t="s">
        <v>779</v>
      </c>
      <c r="C173" s="120">
        <v>-0.02</v>
      </c>
      <c r="D173" s="72">
        <f t="dataTable" ref="D173:H177" dt2D="1" dtr="1" r1="D20" r2="D19"/>
        <v>120.90158432097</v>
      </c>
      <c r="E173" s="72">
        <v>125.7830351791525</v>
      </c>
      <c r="F173" s="72">
        <v>131.1451614137784</v>
      </c>
      <c r="G173" s="72">
        <v>137.0626376155302</v>
      </c>
      <c r="H173" s="72">
        <v>143.6264510623139</v>
      </c>
    </row>
    <row r="174" spans="2:12">
      <c r="B174" s="7" t="s">
        <v>780</v>
      </c>
      <c r="C174" s="120">
        <v>-0.01</v>
      </c>
      <c r="D174" s="72">
        <v>100.5323783437188</v>
      </c>
      <c r="E174" s="72">
        <v>104.3205363783261</v>
      </c>
      <c r="F174" s="72">
        <v>108.4482750586767</v>
      </c>
      <c r="G174" s="72">
        <v>112.9633984047669</v>
      </c>
      <c r="H174" s="72">
        <v>117.9231249389506</v>
      </c>
    </row>
    <row r="175" spans="2:12">
      <c r="B175" s="7" t="s">
        <v>781</v>
      </c>
      <c r="C175" s="120">
        <v>0</v>
      </c>
      <c r="D175" s="72">
        <v>83.3852271656348</v>
      </c>
      <c r="E175" s="72">
        <v>86.36893514822944</v>
      </c>
      <c r="F175" s="72">
        <v>89.59810670347279</v>
      </c>
      <c r="G175" s="72">
        <v>93.10433193979145</v>
      </c>
      <c r="H175" s="72">
        <v>96.92486460969486</v>
      </c>
    </row>
    <row r="176" spans="2:12">
      <c r="B176" s="7" t="s">
        <v>782</v>
      </c>
      <c r="C176" s="120">
        <v>0.01</v>
      </c>
      <c r="D176" s="72">
        <v>68.77067723863448</v>
      </c>
      <c r="E176" s="72">
        <v>71.15084447135925</v>
      </c>
      <c r="F176" s="72">
        <v>73.71193871352001</v>
      </c>
      <c r="G176" s="72">
        <v>76.4754046059734</v>
      </c>
      <c r="H176" s="72">
        <v>79.46621520334143</v>
      </c>
    </row>
    <row r="177" spans="2:8">
      <c r="B177" s="7" t="s">
        <v>783</v>
      </c>
      <c r="C177" s="120">
        <v>0.02</v>
      </c>
      <c r="D177" s="72">
        <v>56.18166556300888</v>
      </c>
      <c r="E177" s="72">
        <v>58.10143024827489</v>
      </c>
      <c r="F177" s="72">
        <v>60.15681559037118</v>
      </c>
      <c r="G177" s="72">
        <v>62.3627190643551</v>
      </c>
      <c r="H177" s="72">
        <v>64.7363029908573</v>
      </c>
    </row>
    <row r="178" spans="2:8">
      <c r="B178" s="2" t="s">
        <v>784</v>
      </c>
    </row>
    <row r="179" spans="2:8" ht="30" customHeight="1">
      <c r="B179" s="32" t="s">
        <v>785</v>
      </c>
      <c r="C179" s="115"/>
      <c r="D179" s="33" t="s">
        <v>786</v>
      </c>
      <c r="E179" s="33" t="s">
        <v>787</v>
      </c>
      <c r="F179" s="33" t="s">
        <v>788</v>
      </c>
      <c r="G179" s="33" t="s">
        <v>789</v>
      </c>
      <c r="H179" s="33" t="s">
        <v>790</v>
      </c>
    </row>
    <row r="180" spans="2:8">
      <c r="B180" s="2" t="s">
        <v>756</v>
      </c>
      <c r="C180" s="116">
        <f>DCF!$D$61</f>
        <v>89.5981067034728</v>
      </c>
      <c r="D180" s="120">
        <v>0.9</v>
      </c>
      <c r="E180" s="120">
        <v>0.95</v>
      </c>
      <c r="F180" s="120">
        <v>1</v>
      </c>
      <c r="G180" s="120">
        <v>1.05</v>
      </c>
      <c r="H180" s="120">
        <v>1.1</v>
      </c>
    </row>
    <row r="181" spans="2:8">
      <c r="B181" s="7" t="s">
        <v>791</v>
      </c>
      <c r="C181" s="120">
        <v>0.8</v>
      </c>
      <c r="D181" s="72">
        <f t="dataTable" ref="D181:H185" dt2D="1" dtr="1" r1="D14" r2="D13"/>
        <v>-96.56633334262229</v>
      </c>
      <c r="E181" s="72">
        <v>-56.15111276221388</v>
      </c>
      <c r="F181" s="72">
        <v>-26.54036219602004</v>
      </c>
      <c r="G181" s="72">
        <v>6.780492323413377</v>
      </c>
      <c r="H181" s="72">
        <v>39.54585541196197</v>
      </c>
    </row>
    <row r="182" spans="2:8">
      <c r="B182" s="7" t="s">
        <v>792</v>
      </c>
      <c r="C182" s="120">
        <v>0.9</v>
      </c>
      <c r="D182" s="72">
        <v>-39.08080922166243</v>
      </c>
      <c r="E182" s="72">
        <v>-1.431747955985209</v>
      </c>
      <c r="F182" s="72">
        <v>35.43890138668358</v>
      </c>
      <c r="G182" s="72">
        <v>72.00910184263925</v>
      </c>
      <c r="H182" s="72">
        <v>108.3080008173451</v>
      </c>
    </row>
    <row r="183" spans="2:8">
      <c r="B183" s="7" t="s">
        <v>793</v>
      </c>
      <c r="C183" s="120">
        <v>1</v>
      </c>
      <c r="D183" s="72">
        <v>8.484471788843834</v>
      </c>
      <c r="E183" s="72">
        <v>49.2096315920424</v>
      </c>
      <c r="F183" s="72">
        <v>89.59810670347279</v>
      </c>
      <c r="G183" s="72">
        <v>129.9302166753682</v>
      </c>
      <c r="H183" s="72">
        <v>170.1412206772501</v>
      </c>
    </row>
    <row r="184" spans="2:8">
      <c r="B184" s="7" t="s">
        <v>794</v>
      </c>
      <c r="C184" s="120">
        <v>1.1</v>
      </c>
      <c r="D184" s="72">
        <v>52.04968495460361</v>
      </c>
      <c r="E184" s="72">
        <v>96.41500592368857</v>
      </c>
      <c r="F184" s="72">
        <v>140.751318954597</v>
      </c>
      <c r="G184" s="72">
        <v>184.8566712042904</v>
      </c>
      <c r="H184" s="72">
        <v>228.9620234539834</v>
      </c>
    </row>
    <row r="185" spans="2:8">
      <c r="B185" s="7" t="s">
        <v>795</v>
      </c>
      <c r="C185" s="120">
        <v>1.2</v>
      </c>
      <c r="D185" s="72">
        <v>94.92060371345261</v>
      </c>
      <c r="E185" s="72">
        <v>143.2041006412773</v>
      </c>
      <c r="F185" s="72">
        <v>191.3190303682154</v>
      </c>
      <c r="G185" s="72">
        <v>239.4339600951538</v>
      </c>
      <c r="H185" s="72">
        <v>287.5488898220917</v>
      </c>
    </row>
    <row r="186" spans="2:8">
      <c r="B186" s="2" t="s">
        <v>796</v>
      </c>
    </row>
    <row r="187" spans="2:8" ht="30" customHeight="1">
      <c r="B187" s="32" t="s">
        <v>797</v>
      </c>
      <c r="C187" s="115"/>
      <c r="D187" s="33" t="s">
        <v>791</v>
      </c>
      <c r="E187" s="33" t="s">
        <v>792</v>
      </c>
      <c r="F187" s="33" t="s">
        <v>798</v>
      </c>
      <c r="G187" s="33" t="s">
        <v>794</v>
      </c>
      <c r="H187" s="33" t="s">
        <v>795</v>
      </c>
    </row>
    <row r="188" spans="2:8">
      <c r="B188" s="2" t="s">
        <v>756</v>
      </c>
      <c r="C188" s="117">
        <f>DCF!$D$64</f>
        <v>0.2863643099700878</v>
      </c>
      <c r="D188" s="120">
        <v>0.8</v>
      </c>
      <c r="E188" s="120">
        <v>0.9</v>
      </c>
      <c r="F188" s="120">
        <v>1</v>
      </c>
      <c r="G188" s="120">
        <v>1.1</v>
      </c>
      <c r="H188" s="120">
        <v>1.2</v>
      </c>
    </row>
    <row r="189" spans="2:8">
      <c r="B189" s="7" t="s">
        <v>799</v>
      </c>
      <c r="C189" s="120">
        <v>0.8</v>
      </c>
      <c r="D189" s="60">
        <f t="dataTable" ref="D189:H193" dt2D="1" dtr="1" r1="D13" r2="D15"/>
        <v>0.1512986948219605</v>
      </c>
      <c r="E189" s="60">
        <v>0.2430874845972932</v>
      </c>
      <c r="F189" s="60">
        <v>0.3128388341141143</v>
      </c>
      <c r="G189" s="60">
        <v>0.3727197344451936</v>
      </c>
      <c r="H189" s="60">
        <v>0.4285521970080616</v>
      </c>
    </row>
    <row r="190" spans="2:8">
      <c r="B190" s="7" t="s">
        <v>800</v>
      </c>
      <c r="C190" s="120">
        <v>0.9</v>
      </c>
      <c r="D190" s="60">
        <v>0.1341145033087338</v>
      </c>
      <c r="E190" s="60">
        <v>0.2288610471033819</v>
      </c>
      <c r="F190" s="60">
        <v>0.2995864853415445</v>
      </c>
      <c r="G190" s="60">
        <v>0.359985786133228</v>
      </c>
      <c r="H190" s="60">
        <v>0.4157975360195336</v>
      </c>
    </row>
    <row r="191" spans="2:8">
      <c r="B191" s="7" t="s">
        <v>801</v>
      </c>
      <c r="C191" s="120">
        <v>1</v>
      </c>
      <c r="D191" s="60">
        <v>0.1162633745553637</v>
      </c>
      <c r="E191" s="60">
        <v>0.214531013848751</v>
      </c>
      <c r="F191" s="60">
        <v>0.2863643099700878</v>
      </c>
      <c r="G191" s="60">
        <v>0.3473409138348036</v>
      </c>
      <c r="H191" s="60">
        <v>0.403190140870825</v>
      </c>
    </row>
    <row r="192" spans="2:8">
      <c r="B192" s="7" t="s">
        <v>802</v>
      </c>
      <c r="C192" s="120">
        <v>1.1</v>
      </c>
      <c r="D192" s="60">
        <v>0.0976594535867059</v>
      </c>
      <c r="E192" s="60">
        <v>0.2000530414703065</v>
      </c>
      <c r="F192" s="60">
        <v>0.2731476756417034</v>
      </c>
      <c r="G192" s="60">
        <v>0.334589570177834</v>
      </c>
      <c r="H192" s="60">
        <v>0.3907162076850972</v>
      </c>
    </row>
    <row r="193" spans="2:8">
      <c r="B193" s="7" t="s">
        <v>803</v>
      </c>
      <c r="C193" s="120">
        <v>1.2</v>
      </c>
      <c r="D193" s="60">
        <v>0.07814461659675798</v>
      </c>
      <c r="E193" s="60">
        <v>0.1852027783509611</v>
      </c>
      <c r="F193" s="60">
        <v>0.2599103869652551</v>
      </c>
      <c r="G193" s="60">
        <v>0.3218146491325238</v>
      </c>
      <c r="H193" s="60">
        <v>0.3783618901794532</v>
      </c>
    </row>
    <row r="194" spans="2:8">
      <c r="B194" s="2" t="s">
        <v>804</v>
      </c>
    </row>
    <row r="195" spans="2:8" ht="30" customHeight="1">
      <c r="B195" s="32" t="s">
        <v>805</v>
      </c>
      <c r="C195" s="115"/>
      <c r="D195" s="33" t="s">
        <v>380</v>
      </c>
      <c r="E195" s="33" t="s">
        <v>74</v>
      </c>
      <c r="F195" s="33" t="s">
        <v>381</v>
      </c>
    </row>
    <row r="196" spans="2:8">
      <c r="B196" s="2" t="s">
        <v>756</v>
      </c>
      <c r="C196" s="117">
        <f>DCF!$D$86</f>
        <v>0.18943622736876387</v>
      </c>
      <c r="D196" s="120">
        <v>1</v>
      </c>
      <c r="E196" s="120">
        <v>2</v>
      </c>
      <c r="F196" s="120">
        <v>3</v>
      </c>
    </row>
    <row r="197" spans="2:8">
      <c r="B197" s="7" t="s">
        <v>806</v>
      </c>
      <c r="C197" s="120">
        <v>0.7</v>
      </c>
      <c r="D197" s="60">
        <f t="dataTable" ref="D197:F202" dt2D="1" dtr="1" r1="D10" r2="D16"/>
        <v>0.1819831016370215</v>
      </c>
      <c r="E197" s="60">
        <v>0.2137789606408924</v>
      </c>
      <c r="F197" s="60">
        <v>0.1885301639855452</v>
      </c>
    </row>
    <row r="198" spans="2:8">
      <c r="B198" s="7" t="s">
        <v>807</v>
      </c>
      <c r="C198" s="120">
        <v>0.85</v>
      </c>
      <c r="D198" s="60">
        <v>0.175118526114228</v>
      </c>
      <c r="E198" s="60">
        <v>0.2016075940048281</v>
      </c>
      <c r="F198" s="60">
        <v>0.1627607904545887</v>
      </c>
    </row>
    <row r="199" spans="2:8">
      <c r="B199" s="7" t="s">
        <v>808</v>
      </c>
      <c r="C199" s="120">
        <v>1</v>
      </c>
      <c r="D199" s="60">
        <v>0.1682539505914344</v>
      </c>
      <c r="E199" s="60">
        <v>0.1894362273687639</v>
      </c>
      <c r="F199" s="60">
        <v>0.1369914169236323</v>
      </c>
    </row>
    <row r="200" spans="2:8">
      <c r="B200" s="7" t="s">
        <v>809</v>
      </c>
      <c r="C200" s="120">
        <v>1.15</v>
      </c>
      <c r="D200" s="60">
        <v>0.1613893750686409</v>
      </c>
      <c r="E200" s="60">
        <v>0.1772648607326996</v>
      </c>
      <c r="F200" s="60">
        <v>0.1112220433926759</v>
      </c>
    </row>
    <row r="201" spans="2:8">
      <c r="B201" s="7" t="s">
        <v>810</v>
      </c>
      <c r="C201" s="120">
        <v>1.3</v>
      </c>
      <c r="D201" s="60">
        <v>0.1545247995458474</v>
      </c>
      <c r="E201" s="60">
        <v>0.1650934940966353</v>
      </c>
      <c r="F201" s="60">
        <v>0.08545266986171936</v>
      </c>
    </row>
    <row r="202" spans="2:8">
      <c r="B202" s="7" t="s">
        <v>811</v>
      </c>
      <c r="C202" s="120">
        <v>1.6</v>
      </c>
      <c r="D202" s="60">
        <v>0.1407956485002604</v>
      </c>
      <c r="E202" s="60">
        <v>0.1407507608245069</v>
      </c>
      <c r="F202" s="60">
        <v>0.03391392279980645</v>
      </c>
    </row>
    <row r="204" spans="2:8">
      <c r="B204" s="2" t="s">
        <v>812</v>
      </c>
    </row>
    <row r="205" spans="2:8" ht="30" customHeight="1">
      <c r="B205" s="32" t="s">
        <v>813</v>
      </c>
      <c r="C205" s="115"/>
      <c r="D205" s="33" t="s">
        <v>74</v>
      </c>
      <c r="E205" s="33" t="s">
        <v>381</v>
      </c>
    </row>
    <row r="206" spans="2:8">
      <c r="B206" s="2" t="s">
        <v>756</v>
      </c>
      <c r="C206" s="116">
        <f>DCF!$D$61</f>
        <v>89.5981067034728</v>
      </c>
      <c r="D206" s="120">
        <v>2</v>
      </c>
      <c r="E206" s="120">
        <v>3</v>
      </c>
    </row>
    <row r="207" spans="2:8">
      <c r="B207" s="7" t="s">
        <v>814</v>
      </c>
      <c r="C207" s="120">
        <v>50</v>
      </c>
      <c r="D207" s="72">
        <f t="dataTable" ref="D207:E212" dt2D="1" dtr="1" r1="D10" r2="D12"/>
        <v>89.59810670347279</v>
      </c>
      <c r="E207" s="72">
        <v>30.57402457081236</v>
      </c>
    </row>
    <row r="208" spans="2:8">
      <c r="B208" s="7" t="s">
        <v>815</v>
      </c>
      <c r="C208" s="120">
        <v>150</v>
      </c>
      <c r="D208" s="72">
        <v>89.59810670347279</v>
      </c>
      <c r="E208" s="72">
        <v>39.97744078726686</v>
      </c>
    </row>
    <row r="209" spans="2:12">
      <c r="B209" s="7" t="s">
        <v>816</v>
      </c>
      <c r="C209" s="120">
        <v>300</v>
      </c>
      <c r="D209" s="72">
        <v>89.59810670347279</v>
      </c>
      <c r="E209" s="72">
        <v>54.08256511194872</v>
      </c>
    </row>
    <row r="210" spans="2:12">
      <c r="B210" s="7" t="s">
        <v>817</v>
      </c>
      <c r="C210" s="120">
        <v>450</v>
      </c>
      <c r="D210" s="72">
        <v>89.59810670347279</v>
      </c>
      <c r="E210" s="72">
        <v>68.18768943663056</v>
      </c>
    </row>
    <row r="211" spans="2:12">
      <c r="B211" s="7" t="s">
        <v>818</v>
      </c>
      <c r="C211" s="120">
        <v>600</v>
      </c>
      <c r="D211" s="72">
        <v>89.59810670347279</v>
      </c>
      <c r="E211" s="72">
        <v>82.29281376131235</v>
      </c>
    </row>
    <row r="212" spans="2:12">
      <c r="B212" s="7" t="s">
        <v>819</v>
      </c>
      <c r="C212" s="120">
        <v>800</v>
      </c>
      <c r="D212" s="72">
        <v>89.59810670347279</v>
      </c>
      <c r="E212" s="72">
        <v>101.0996461942216</v>
      </c>
    </row>
    <row r="214" spans="2:12" ht="18" customHeight="1">
      <c r="B214" s="4" t="s">
        <v>820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2:12" ht="30" customHeight="1">
      <c r="B215" s="32" t="s">
        <v>821</v>
      </c>
      <c r="C215" s="115"/>
      <c r="D215" s="33" t="s">
        <v>734</v>
      </c>
      <c r="E215" s="33" t="s">
        <v>735</v>
      </c>
      <c r="G215" s="33" t="s">
        <v>822</v>
      </c>
      <c r="H215" s="33" t="s">
        <v>823</v>
      </c>
      <c r="I215" s="33" t="s">
        <v>824</v>
      </c>
    </row>
    <row r="216" spans="2:12">
      <c r="B216" s="2" t="s">
        <v>756</v>
      </c>
      <c r="C216" s="116">
        <f>DCF!$D$61</f>
        <v>89.5981067034728</v>
      </c>
      <c r="D216" s="120">
        <v>1</v>
      </c>
      <c r="E216" s="120">
        <v>2</v>
      </c>
    </row>
    <row r="217" spans="2:12">
      <c r="B217" s="7" t="s">
        <v>533</v>
      </c>
      <c r="C217" s="120">
        <v>1</v>
      </c>
      <c r="D217" s="72">
        <f t="dataTable" ref="D217:E224" dt2D="1" dtr="1" r1="D22" r2="D21"/>
        <v>6.484236201560506</v>
      </c>
      <c r="E217" s="72">
        <v>166.152142865719</v>
      </c>
      <c r="G217" s="31">
        <f>D217-DCF!$D$61</f>
        <v>-89.5981067034728</v>
      </c>
      <c r="H217" s="31">
        <f>E217-DCF!$D$61</f>
        <v>-89.5981067034728</v>
      </c>
      <c r="I217" s="72">
        <f>ABS(H217-G217)</f>
        <v>0.0</v>
      </c>
    </row>
    <row r="218" spans="2:12">
      <c r="B218" s="7" t="s">
        <v>736</v>
      </c>
      <c r="C218" s="120">
        <v>2</v>
      </c>
      <c r="D218" s="72">
        <v>8.484471788843834</v>
      </c>
      <c r="E218" s="72">
        <v>170.1412206772501</v>
      </c>
      <c r="G218" s="31">
        <f>D218-DCF!$D$61</f>
        <v>-89.5981067034728</v>
      </c>
      <c r="H218" s="31">
        <f>E218-DCF!$D$61</f>
        <v>-89.5981067034728</v>
      </c>
      <c r="I218" s="72">
        <f>ABS(H218-G218)</f>
        <v>0.0</v>
      </c>
    </row>
    <row r="219" spans="2:12">
      <c r="B219" s="7" t="s">
        <v>71</v>
      </c>
      <c r="C219" s="120">
        <v>3</v>
      </c>
      <c r="D219" s="72">
        <v>109.7407103781156</v>
      </c>
      <c r="E219" s="72">
        <v>69.59552223396628</v>
      </c>
      <c r="G219" s="31">
        <f>D219-DCF!$D$61</f>
        <v>-89.5981067034728</v>
      </c>
      <c r="H219" s="31">
        <f>E219-DCF!$D$61</f>
        <v>-89.5981067034728</v>
      </c>
      <c r="I219" s="72">
        <f>ABS(H219-G219)</f>
        <v>0.0</v>
      </c>
    </row>
    <row r="220" spans="2:12">
      <c r="B220" s="7" t="s">
        <v>737</v>
      </c>
      <c r="C220" s="120">
        <v>4</v>
      </c>
      <c r="D220" s="72">
        <v>115.0414177976083</v>
      </c>
      <c r="E220" s="72">
        <v>64.15479560933727</v>
      </c>
      <c r="G220" s="31">
        <f>D220-DCF!$D$61</f>
        <v>-89.5981067034728</v>
      </c>
      <c r="H220" s="31">
        <f>E220-DCF!$D$61</f>
        <v>-89.5981067034728</v>
      </c>
      <c r="I220" s="72">
        <f>ABS(H220-G220)</f>
        <v>0.0</v>
      </c>
    </row>
    <row r="221" spans="2:12">
      <c r="B221" s="7" t="s">
        <v>11</v>
      </c>
      <c r="C221" s="120">
        <v>5</v>
      </c>
      <c r="D221" s="72">
        <v>97.92165012508424</v>
      </c>
      <c r="E221" s="72">
        <v>78.06130761301164</v>
      </c>
      <c r="G221" s="31">
        <f>D221-DCF!$D$61</f>
        <v>-89.5981067034728</v>
      </c>
      <c r="H221" s="31">
        <f>E221-DCF!$D$61</f>
        <v>-89.5981067034728</v>
      </c>
      <c r="I221" s="72">
        <f>ABS(H221-G221)</f>
        <v>0.0</v>
      </c>
    </row>
    <row r="222" spans="2:12">
      <c r="B222" s="7" t="s">
        <v>738</v>
      </c>
      <c r="C222" s="120">
        <v>6</v>
      </c>
      <c r="D222" s="72">
        <v>121.9966322205231</v>
      </c>
      <c r="E222" s="72">
        <v>41.12737339160527</v>
      </c>
      <c r="G222" s="31">
        <f>D222-DCF!$D$61</f>
        <v>-89.5981067034728</v>
      </c>
      <c r="H222" s="31">
        <f>E222-DCF!$D$61</f>
        <v>-89.5981067034728</v>
      </c>
      <c r="I222" s="72">
        <f>ABS(H222-G222)</f>
        <v>0.0</v>
      </c>
    </row>
    <row r="223" spans="2:12">
      <c r="B223" s="7" t="s">
        <v>739</v>
      </c>
      <c r="C223" s="120">
        <v>7</v>
      </c>
      <c r="D223" s="72">
        <v>131.1451614137784</v>
      </c>
      <c r="E223" s="72">
        <v>60.15681559037118</v>
      </c>
      <c r="G223" s="31">
        <f>D223-DCF!$D$61</f>
        <v>-89.5981067034728</v>
      </c>
      <c r="H223" s="31">
        <f>E223-DCF!$D$61</f>
        <v>-89.5981067034728</v>
      </c>
      <c r="I223" s="72">
        <f>ABS(H223-G223)</f>
        <v>0.0</v>
      </c>
    </row>
    <row r="224" spans="2:12">
      <c r="B224" s="7" t="s">
        <v>740</v>
      </c>
      <c r="C224" s="120">
        <v>8</v>
      </c>
      <c r="D224" s="72">
        <v>83.3852271656348</v>
      </c>
      <c r="E224" s="72">
        <v>96.92486460969486</v>
      </c>
      <c r="G224" s="31">
        <f>D224-DCF!$D$61</f>
        <v>-89.5981067034728</v>
      </c>
      <c r="H224" s="31">
        <f>E224-DCF!$D$61</f>
        <v>-89.5981067034728</v>
      </c>
      <c r="I224" s="72">
        <f>ABS(H224-G224)</f>
        <v>0.0</v>
      </c>
    </row>
    <row r="226" spans="2:16" ht="18" customHeight="1">
      <c r="B226" s="4" t="s">
        <v>825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2:16" ht="30" customHeight="1">
      <c r="B227" s="32" t="s">
        <v>826</v>
      </c>
      <c r="C227" s="115"/>
      <c r="D227" s="33" t="s">
        <v>827</v>
      </c>
      <c r="E227" s="33" t="s">
        <v>828</v>
      </c>
      <c r="F227" s="33" t="s">
        <v>829</v>
      </c>
      <c r="G227" s="33" t="s">
        <v>830</v>
      </c>
      <c r="H227" s="33" t="s">
        <v>831</v>
      </c>
      <c r="I227" s="33" t="s">
        <v>832</v>
      </c>
      <c r="J227" s="33" t="s">
        <v>833</v>
      </c>
      <c r="K227" s="33" t="s">
        <v>834</v>
      </c>
      <c r="L227" s="33" t="s">
        <v>835</v>
      </c>
      <c r="M227" s="33" t="s">
        <v>836</v>
      </c>
      <c r="N227" s="33" t="s">
        <v>837</v>
      </c>
      <c r="O227" s="33" t="s">
        <v>838</v>
      </c>
      <c r="P227" s="33" t="s">
        <v>680</v>
      </c>
    </row>
    <row r="228" spans="2:16">
      <c r="B228" s="2" t="s">
        <v>756</v>
      </c>
      <c r="D228" s="116">
        <f>DCF!F63</f>
        <v>-82.1195</v>
      </c>
      <c r="E228" s="116">
        <f>DCF!G63</f>
        <v>-6.501346603277715</v>
      </c>
      <c r="F228" s="116">
        <f>DCF!H63</f>
        <v>15.108369156682445</v>
      </c>
      <c r="G228" s="116">
        <f>DCF!I63</f>
        <v>27.336693507011745</v>
      </c>
      <c r="H228" s="116">
        <f>DCF!J63</f>
        <v>25.96708587208386</v>
      </c>
      <c r="I228" s="116">
        <f>DCF!K63</f>
        <v>27.923706909561485</v>
      </c>
      <c r="J228" s="116">
        <f>DCF!L63</f>
        <v>18.76337758582732</v>
      </c>
      <c r="K228" s="116">
        <f>DCF!M63</f>
        <v>32.71158013521432</v>
      </c>
      <c r="L228" s="116">
        <f>DCF!N63</f>
        <v>35.08443386880369</v>
      </c>
      <c r="M228" s="116">
        <f>DCF!O63</f>
        <v>37.62826950908635</v>
      </c>
      <c r="N228" s="116">
        <f>DCF!P63</f>
        <v>365.41894420602046</v>
      </c>
      <c r="O228" s="116">
        <f>DCF!$D$61</f>
        <v>89.5981067034728</v>
      </c>
      <c r="P228" s="117">
        <f>DCF!$D$68</f>
        <v>0.32930809709610975</v>
      </c>
    </row>
    <row r="229" spans="2:16">
      <c r="B229" s="7" t="s">
        <v>71</v>
      </c>
      <c r="C229" s="120">
        <v>1</v>
      </c>
      <c r="D229" s="72">
        <f t="dataTable" ref="D229:P230" dt2D="0" dtr="0" r1="D9"/>
        <v>-82.1195</v>
      </c>
      <c r="E229" s="72">
        <v>-6.501346603277715</v>
      </c>
      <c r="F229" s="72">
        <v>15.10836915668244</v>
      </c>
      <c r="G229" s="72">
        <v>27.33669350701174</v>
      </c>
      <c r="H229" s="72">
        <v>25.96708587208386</v>
      </c>
      <c r="I229" s="72">
        <v>27.92370690956148</v>
      </c>
      <c r="J229" s="72">
        <v>18.76337758582732</v>
      </c>
      <c r="K229" s="72">
        <v>32.71158013521432</v>
      </c>
      <c r="L229" s="72">
        <v>35.08443386880369</v>
      </c>
      <c r="M229" s="72">
        <v>37.62826950908635</v>
      </c>
      <c r="N229" s="72">
        <v>365.4189442060205</v>
      </c>
      <c r="O229" s="72">
        <v>89.59810670347279</v>
      </c>
      <c r="P229" s="60">
        <v>0.3293080970961098</v>
      </c>
    </row>
    <row r="230" spans="2:16">
      <c r="B230" s="7" t="s">
        <v>274</v>
      </c>
      <c r="C230" s="120">
        <v>2</v>
      </c>
      <c r="D230" s="72">
        <v>-261.4195</v>
      </c>
      <c r="E230" s="72">
        <v>6.948653396722287</v>
      </c>
      <c r="F230" s="72">
        <v>29.23086915668243</v>
      </c>
      <c r="G230" s="72">
        <v>38.53483324861175</v>
      </c>
      <c r="H230" s="72">
        <v>39.66824993692385</v>
      </c>
      <c r="I230" s="72">
        <v>42.00246224186748</v>
      </c>
      <c r="J230" s="72">
        <v>33.26935044255023</v>
      </c>
      <c r="K230" s="72">
        <v>47.69380341679481</v>
      </c>
      <c r="L230" s="72">
        <v>50.59162491828251</v>
      </c>
      <c r="M230" s="72">
        <v>53.70909105447647</v>
      </c>
      <c r="N230" s="72">
        <v>707.0201448528603</v>
      </c>
      <c r="O230" s="72">
        <v>84.79579931172951</v>
      </c>
      <c r="P230" s="60">
        <v>0.2430253656880843</v>
      </c>
    </row>
    <row r="231" spans="2:16">
      <c r="B231" s="10" t="s">
        <v>839</v>
      </c>
      <c r="C231" s="11"/>
      <c r="D231" s="87">
        <f>D230-D229</f>
        <v>0.0</v>
      </c>
      <c r="E231" s="87">
        <f>E230-E229</f>
        <v>0.0</v>
      </c>
      <c r="F231" s="87">
        <f>F230-F229</f>
        <v>0.0</v>
      </c>
      <c r="G231" s="87">
        <f>G230-G229</f>
        <v>0.0</v>
      </c>
      <c r="H231" s="87">
        <f>H230-H229</f>
        <v>0.0</v>
      </c>
      <c r="I231" s="87">
        <f>I230-I229</f>
        <v>0.0</v>
      </c>
      <c r="J231" s="87">
        <f>J230-J229</f>
        <v>0.0</v>
      </c>
      <c r="K231" s="87">
        <f>K230-K229</f>
        <v>0.0</v>
      </c>
      <c r="L231" s="87">
        <f>L230-L229</f>
        <v>0.0</v>
      </c>
      <c r="M231" s="87">
        <f>M230-M229</f>
        <v>0.0</v>
      </c>
      <c r="N231" s="87">
        <f>N230-N229</f>
        <v>0.0</v>
      </c>
    </row>
    <row r="232" spans="2:16">
      <c r="B232" s="16" t="s">
        <v>840</v>
      </c>
      <c r="D232" s="51" t="str">
        <f>IFERROR(IRR(D231:N231),"n.m.")</f>
        <v>n.m.</v>
      </c>
    </row>
    <row r="233" spans="2:16">
      <c r="B233" s="2" t="s">
        <v>841</v>
      </c>
    </row>
  </sheetData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4A2"/>
    <pageSetUpPr fitToPage="1"/>
  </sheetPr>
  <dimension ref="A1:P27"/>
  <sheetViews>
    <sheetView showGridLines="0" zoomScale="90" zoomScaleNormal="90" workbookViewId="0"/>
  </sheetViews>
  <sheetFormatPr defaultRowHeight="15" x14ac:dyDescent="0.25"/>
  <cols>
    <col min="1" max="1" width="2.7109375" customWidth="1"/>
    <col min="2" max="2" width="5.7109375" customWidth="1"/>
    <col min="3" max="3" width="16.7109375" customWidth="1"/>
    <col min="4" max="4" width="19.7109375" customWidth="1"/>
    <col min="5" max="5" width="9.7109375" customWidth="1"/>
    <col min="6" max="6" width="17.7109375" customWidth="1"/>
    <col min="7" max="7" width="10.7109375" customWidth="1"/>
    <col min="8" max="8" width="2.7109375" customWidth="1"/>
    <col min="9" max="16" width="11.7109375" customWidth="1"/>
  </cols>
  <sheetData>
    <row r="1" spans="2:16" ht="24" customHeight="1" x14ac:dyDescent="0.25">
      <c r="B1" s="19" t="s">
        <v>842</v>
      </c>
    </row>
    <row r="2" spans="2:16" x14ac:dyDescent="0.25">
      <c r="B2" s="2" t="s">
        <v>843</v>
      </c>
    </row>
    <row r="3" spans="2:16" x14ac:dyDescent="0.25">
      <c r="B3" s="3" t="str">
        <f>"Model running: "&amp;Inputs!$D$23</f>
        <v>Model running: Prahladnagar | Rent | Toll roasting | Specialty mix | Base case</v>
      </c>
    </row>
    <row r="5" spans="2:16" ht="30" customHeight="1" x14ac:dyDescent="0.25">
      <c r="B5" s="33" t="s">
        <v>84</v>
      </c>
      <c r="C5" s="33" t="s">
        <v>844</v>
      </c>
      <c r="D5" s="33" t="s">
        <v>66</v>
      </c>
      <c r="E5" s="33" t="s">
        <v>70</v>
      </c>
      <c r="F5" s="33" t="s">
        <v>845</v>
      </c>
      <c r="G5" s="33" t="s">
        <v>846</v>
      </c>
      <c r="I5" s="33" t="s">
        <v>748</v>
      </c>
      <c r="J5" s="33" t="s">
        <v>676</v>
      </c>
      <c r="K5" s="33" t="s">
        <v>680</v>
      </c>
      <c r="L5" s="33" t="s">
        <v>683</v>
      </c>
      <c r="M5" s="33" t="s">
        <v>847</v>
      </c>
      <c r="N5" s="33" t="s">
        <v>848</v>
      </c>
      <c r="O5" s="33" t="s">
        <v>849</v>
      </c>
      <c r="P5" s="33" t="s">
        <v>850</v>
      </c>
    </row>
    <row r="6" spans="2:16" x14ac:dyDescent="0.25">
      <c r="B6" s="114">
        <v>1</v>
      </c>
      <c r="C6" s="15" t="s">
        <v>851</v>
      </c>
      <c r="D6" s="65" t="s">
        <v>68</v>
      </c>
      <c r="E6" s="65" t="s">
        <v>71</v>
      </c>
      <c r="F6" s="65" t="s">
        <v>380</v>
      </c>
      <c r="G6" s="65" t="s">
        <v>77</v>
      </c>
      <c r="I6" s="31">
        <f>Scenarios!$D$100</f>
        <v>0.0</v>
      </c>
      <c r="J6" s="30">
        <f>Scenarios!$E$100</f>
        <v>0.0</v>
      </c>
      <c r="K6" s="30">
        <f>Scenarios!$F$100</f>
        <v>0.0</v>
      </c>
      <c r="L6" s="35">
        <f>Scenarios!$G$100</f>
        <v>0.0</v>
      </c>
      <c r="M6" s="31">
        <f>Scenarios!$H$100</f>
        <v>0.0</v>
      </c>
      <c r="N6" s="30">
        <f>Scenarios!$L$100</f>
        <v>0.0</v>
      </c>
      <c r="O6" s="29">
        <f>Scenarios!$M$100</f>
        <v>0.0</v>
      </c>
      <c r="P6" s="114">
        <f>RANK(I6,$I$6:$I$25)</f>
        <v>1.0</v>
      </c>
    </row>
    <row r="7" spans="2:16" x14ac:dyDescent="0.25">
      <c r="B7" s="114">
        <v>2</v>
      </c>
      <c r="C7" s="15" t="s">
        <v>852</v>
      </c>
      <c r="D7" s="65" t="s">
        <v>68</v>
      </c>
      <c r="E7" s="65" t="s">
        <v>71</v>
      </c>
      <c r="F7" s="65" t="s">
        <v>74</v>
      </c>
      <c r="G7" s="65" t="s">
        <v>77</v>
      </c>
      <c r="I7" s="31">
        <f>Scenarios!$D$101</f>
        <v>0.0</v>
      </c>
      <c r="J7" s="30">
        <f>Scenarios!$E$101</f>
        <v>0.0</v>
      </c>
      <c r="K7" s="30">
        <f>Scenarios!$F$101</f>
        <v>0.0</v>
      </c>
      <c r="L7" s="35">
        <f>Scenarios!$G$101</f>
        <v>0.0</v>
      </c>
      <c r="M7" s="31">
        <f>Scenarios!$H$101</f>
        <v>0.0</v>
      </c>
      <c r="N7" s="30">
        <f>Scenarios!$L$101</f>
        <v>0.0</v>
      </c>
      <c r="O7" s="29">
        <f>Scenarios!$M$101</f>
        <v>0.0</v>
      </c>
      <c r="P7" s="114">
        <f>RANK(I7,$I$6:$I$25)</f>
        <v>1.0</v>
      </c>
    </row>
    <row r="8" spans="2:16" x14ac:dyDescent="0.25">
      <c r="B8" s="114">
        <v>3</v>
      </c>
      <c r="C8" s="15" t="s">
        <v>853</v>
      </c>
      <c r="D8" s="65" t="s">
        <v>68</v>
      </c>
      <c r="E8" s="65" t="s">
        <v>71</v>
      </c>
      <c r="F8" s="65" t="s">
        <v>381</v>
      </c>
      <c r="G8" s="65" t="s">
        <v>77</v>
      </c>
      <c r="I8" s="31">
        <f>Scenarios!$D$102</f>
        <v>0.0</v>
      </c>
      <c r="J8" s="30">
        <f>Scenarios!$E$102</f>
        <v>0.0</v>
      </c>
      <c r="K8" s="30">
        <f>Scenarios!$F$102</f>
        <v>0.0</v>
      </c>
      <c r="L8" s="35">
        <f>Scenarios!$G$102</f>
        <v>0.0</v>
      </c>
      <c r="M8" s="31">
        <f>Scenarios!$H$102</f>
        <v>0.0</v>
      </c>
      <c r="N8" s="30">
        <f>Scenarios!$L$102</f>
        <v>0.0</v>
      </c>
      <c r="O8" s="29">
        <f>Scenarios!$M$102</f>
        <v>0.0</v>
      </c>
      <c r="P8" s="114">
        <f>RANK(I8,$I$6:$I$25)</f>
        <v>1.0</v>
      </c>
    </row>
    <row r="9" spans="2:16" x14ac:dyDescent="0.25">
      <c r="B9" s="114">
        <v>4</v>
      </c>
      <c r="C9" s="15" t="s">
        <v>854</v>
      </c>
      <c r="D9" s="65" t="s">
        <v>68</v>
      </c>
      <c r="E9" s="65" t="s">
        <v>274</v>
      </c>
      <c r="F9" s="65" t="s">
        <v>74</v>
      </c>
      <c r="G9" s="65" t="s">
        <v>77</v>
      </c>
      <c r="I9" s="31">
        <f>Scenarios!$D$103</f>
        <v>0.0</v>
      </c>
      <c r="J9" s="30">
        <f>Scenarios!$E$103</f>
        <v>0.0</v>
      </c>
      <c r="K9" s="30">
        <f>Scenarios!$F$103</f>
        <v>0.0</v>
      </c>
      <c r="L9" s="35">
        <f>Scenarios!$G$103</f>
        <v>0.0</v>
      </c>
      <c r="M9" s="31">
        <f>Scenarios!$H$103</f>
        <v>0.0</v>
      </c>
      <c r="N9" s="30">
        <f>Scenarios!$L$103</f>
        <v>0.0</v>
      </c>
      <c r="O9" s="29">
        <f>Scenarios!$M$103</f>
        <v>0.0</v>
      </c>
      <c r="P9" s="114">
        <f>RANK(I9,$I$6:$I$25)</f>
        <v>1.0</v>
      </c>
    </row>
    <row r="10" spans="2:16" x14ac:dyDescent="0.25">
      <c r="B10" s="114">
        <v>5</v>
      </c>
      <c r="C10" s="15" t="s">
        <v>855</v>
      </c>
      <c r="D10" s="65" t="s">
        <v>68</v>
      </c>
      <c r="E10" s="65" t="s">
        <v>71</v>
      </c>
      <c r="F10" s="65" t="s">
        <v>74</v>
      </c>
      <c r="G10" s="65" t="s">
        <v>63</v>
      </c>
      <c r="I10" s="31">
        <f>Scenarios!$D$104</f>
        <v>0.0</v>
      </c>
      <c r="J10" s="30">
        <f>Scenarios!$E$104</f>
        <v>0.0</v>
      </c>
      <c r="K10" s="30">
        <f>Scenarios!$F$104</f>
        <v>0.0</v>
      </c>
      <c r="L10" s="35">
        <f>Scenarios!$G$104</f>
        <v>0.0</v>
      </c>
      <c r="M10" s="31">
        <f>Scenarios!$H$104</f>
        <v>0.0</v>
      </c>
      <c r="N10" s="30">
        <f>Scenarios!$L$104</f>
        <v>0.0</v>
      </c>
      <c r="O10" s="29">
        <f>Scenarios!$M$104</f>
        <v>0.0</v>
      </c>
      <c r="P10" s="114">
        <f>RANK(I10,$I$6:$I$25)</f>
        <v>1.0</v>
      </c>
    </row>
    <row r="11" spans="2:16" x14ac:dyDescent="0.25">
      <c r="B11" s="114">
        <v>6</v>
      </c>
      <c r="C11" s="15" t="s">
        <v>856</v>
      </c>
      <c r="D11" s="65" t="s">
        <v>68</v>
      </c>
      <c r="E11" s="65" t="s">
        <v>71</v>
      </c>
      <c r="F11" s="65" t="s">
        <v>74</v>
      </c>
      <c r="G11" s="65" t="s">
        <v>349</v>
      </c>
      <c r="I11" s="31">
        <f>Scenarios!$D$105</f>
        <v>0.0</v>
      </c>
      <c r="J11" s="30">
        <f>Scenarios!$E$105</f>
        <v>0.0</v>
      </c>
      <c r="K11" s="30">
        <f>Scenarios!$F$105</f>
        <v>0.0</v>
      </c>
      <c r="L11" s="35">
        <f>Scenarios!$G$105</f>
        <v>0.0</v>
      </c>
      <c r="M11" s="31">
        <f>Scenarios!$H$105</f>
        <v>0.0</v>
      </c>
      <c r="N11" s="30">
        <f>Scenarios!$L$105</f>
        <v>0.0</v>
      </c>
      <c r="O11" s="29">
        <f>Scenarios!$M$105</f>
        <v>0.0</v>
      </c>
      <c r="P11" s="114">
        <f>RANK(I11,$I$6:$I$25)</f>
        <v>1.0</v>
      </c>
    </row>
    <row r="12" spans="2:16" x14ac:dyDescent="0.25">
      <c r="B12" s="114">
        <v>7</v>
      </c>
      <c r="C12" s="15" t="s">
        <v>857</v>
      </c>
      <c r="D12" s="65" t="s">
        <v>68</v>
      </c>
      <c r="E12" s="65" t="s">
        <v>71</v>
      </c>
      <c r="F12" s="65" t="s">
        <v>74</v>
      </c>
      <c r="G12" s="65" t="s">
        <v>350</v>
      </c>
      <c r="I12" s="31">
        <f>Scenarios!$D$106</f>
        <v>0.0</v>
      </c>
      <c r="J12" s="30">
        <f>Scenarios!$E$106</f>
        <v>0.0</v>
      </c>
      <c r="K12" s="30">
        <f>Scenarios!$F$106</f>
        <v>0.0</v>
      </c>
      <c r="L12" s="35">
        <f>Scenarios!$G$106</f>
        <v>0.0</v>
      </c>
      <c r="M12" s="31">
        <f>Scenarios!$H$106</f>
        <v>0.0</v>
      </c>
      <c r="N12" s="30">
        <f>Scenarios!$L$106</f>
        <v>0.0</v>
      </c>
      <c r="O12" s="29">
        <f>Scenarios!$M$106</f>
        <v>0.0</v>
      </c>
      <c r="P12" s="114">
        <f>RANK(I12,$I$6:$I$25)</f>
        <v>1.0</v>
      </c>
    </row>
    <row r="13" spans="2:16" x14ac:dyDescent="0.25">
      <c r="B13" s="114">
        <v>8</v>
      </c>
      <c r="C13" s="15" t="s">
        <v>858</v>
      </c>
      <c r="D13" s="65" t="s">
        <v>279</v>
      </c>
      <c r="E13" s="65" t="s">
        <v>71</v>
      </c>
      <c r="F13" s="65" t="s">
        <v>380</v>
      </c>
      <c r="G13" s="65" t="s">
        <v>77</v>
      </c>
      <c r="I13" s="31">
        <f>Scenarios!$D$107</f>
        <v>0.0</v>
      </c>
      <c r="J13" s="30">
        <f>Scenarios!$E$107</f>
        <v>0.0</v>
      </c>
      <c r="K13" s="30">
        <f>Scenarios!$F$107</f>
        <v>0.0</v>
      </c>
      <c r="L13" s="35">
        <f>Scenarios!$G$107</f>
        <v>0.0</v>
      </c>
      <c r="M13" s="31">
        <f>Scenarios!$H$107</f>
        <v>0.0</v>
      </c>
      <c r="N13" s="30">
        <f>Scenarios!$L$107</f>
        <v>0.0</v>
      </c>
      <c r="O13" s="29">
        <f>Scenarios!$M$107</f>
        <v>0.0</v>
      </c>
      <c r="P13" s="114">
        <f>RANK(I13,$I$6:$I$25)</f>
        <v>1.0</v>
      </c>
    </row>
    <row r="14" spans="2:16" x14ac:dyDescent="0.25">
      <c r="B14" s="114">
        <v>9</v>
      </c>
      <c r="C14" s="15" t="s">
        <v>859</v>
      </c>
      <c r="D14" s="65" t="s">
        <v>279</v>
      </c>
      <c r="E14" s="65" t="s">
        <v>71</v>
      </c>
      <c r="F14" s="65" t="s">
        <v>74</v>
      </c>
      <c r="G14" s="65" t="s">
        <v>77</v>
      </c>
      <c r="I14" s="31">
        <f>Scenarios!$D$108</f>
        <v>0.0</v>
      </c>
      <c r="J14" s="30">
        <f>Scenarios!$E$108</f>
        <v>0.0</v>
      </c>
      <c r="K14" s="30">
        <f>Scenarios!$F$108</f>
        <v>0.0</v>
      </c>
      <c r="L14" s="35">
        <f>Scenarios!$G$108</f>
        <v>0.0</v>
      </c>
      <c r="M14" s="31">
        <f>Scenarios!$H$108</f>
        <v>0.0</v>
      </c>
      <c r="N14" s="30">
        <f>Scenarios!$L$108</f>
        <v>0.0</v>
      </c>
      <c r="O14" s="29">
        <f>Scenarios!$M$108</f>
        <v>0.0</v>
      </c>
      <c r="P14" s="114">
        <f>RANK(I14,$I$6:$I$25)</f>
        <v>1.0</v>
      </c>
    </row>
    <row r="15" spans="2:16" x14ac:dyDescent="0.25">
      <c r="B15" s="114">
        <v>10</v>
      </c>
      <c r="C15" s="15" t="s">
        <v>860</v>
      </c>
      <c r="D15" s="65" t="s">
        <v>279</v>
      </c>
      <c r="E15" s="65" t="s">
        <v>71</v>
      </c>
      <c r="F15" s="65" t="s">
        <v>381</v>
      </c>
      <c r="G15" s="65" t="s">
        <v>77</v>
      </c>
      <c r="I15" s="31">
        <f>Scenarios!$D$109</f>
        <v>0.0</v>
      </c>
      <c r="J15" s="30">
        <f>Scenarios!$E$109</f>
        <v>0.0</v>
      </c>
      <c r="K15" s="30">
        <f>Scenarios!$F$109</f>
        <v>0.0</v>
      </c>
      <c r="L15" s="35">
        <f>Scenarios!$G$109</f>
        <v>0.0</v>
      </c>
      <c r="M15" s="31">
        <f>Scenarios!$H$109</f>
        <v>0.0</v>
      </c>
      <c r="N15" s="30">
        <f>Scenarios!$L$109</f>
        <v>0.0</v>
      </c>
      <c r="O15" s="29">
        <f>Scenarios!$M$109</f>
        <v>0.0</v>
      </c>
      <c r="P15" s="114">
        <f>RANK(I15,$I$6:$I$25)</f>
        <v>1.0</v>
      </c>
    </row>
    <row r="16" spans="2:16" x14ac:dyDescent="0.25">
      <c r="B16" s="114">
        <v>11</v>
      </c>
      <c r="C16" s="15" t="s">
        <v>861</v>
      </c>
      <c r="D16" s="65" t="s">
        <v>279</v>
      </c>
      <c r="E16" s="65" t="s">
        <v>274</v>
      </c>
      <c r="F16" s="65" t="s">
        <v>74</v>
      </c>
      <c r="G16" s="65" t="s">
        <v>77</v>
      </c>
      <c r="I16" s="31">
        <f>Scenarios!$D$110</f>
        <v>0.0</v>
      </c>
      <c r="J16" s="30">
        <f>Scenarios!$E$110</f>
        <v>0.0</v>
      </c>
      <c r="K16" s="30">
        <f>Scenarios!$F$110</f>
        <v>0.0</v>
      </c>
      <c r="L16" s="35">
        <f>Scenarios!$G$110</f>
        <v>0.0</v>
      </c>
      <c r="M16" s="31">
        <f>Scenarios!$H$110</f>
        <v>0.0</v>
      </c>
      <c r="N16" s="30">
        <f>Scenarios!$L$110</f>
        <v>0.0</v>
      </c>
      <c r="O16" s="29">
        <f>Scenarios!$M$110</f>
        <v>0.0</v>
      </c>
      <c r="P16" s="114">
        <f>RANK(I16,$I$6:$I$25)</f>
        <v>1.0</v>
      </c>
    </row>
    <row r="17" spans="2:16" x14ac:dyDescent="0.25">
      <c r="B17" s="114">
        <v>12</v>
      </c>
      <c r="C17" s="15" t="s">
        <v>862</v>
      </c>
      <c r="D17" s="65" t="s">
        <v>279</v>
      </c>
      <c r="E17" s="65" t="s">
        <v>71</v>
      </c>
      <c r="F17" s="65" t="s">
        <v>74</v>
      </c>
      <c r="G17" s="65" t="s">
        <v>350</v>
      </c>
      <c r="I17" s="31">
        <f>Scenarios!$D$111</f>
        <v>0.0</v>
      </c>
      <c r="J17" s="30">
        <f>Scenarios!$E$111</f>
        <v>0.0</v>
      </c>
      <c r="K17" s="30">
        <f>Scenarios!$F$111</f>
        <v>0.0</v>
      </c>
      <c r="L17" s="35">
        <f>Scenarios!$G$111</f>
        <v>0.0</v>
      </c>
      <c r="M17" s="31">
        <f>Scenarios!$H$111</f>
        <v>0.0</v>
      </c>
      <c r="N17" s="30">
        <f>Scenarios!$L$111</f>
        <v>0.0</v>
      </c>
      <c r="O17" s="29">
        <f>Scenarios!$M$111</f>
        <v>0.0</v>
      </c>
      <c r="P17" s="114">
        <f>RANK(I17,$I$6:$I$25)</f>
        <v>1.0</v>
      </c>
    </row>
    <row r="18" spans="2:16" x14ac:dyDescent="0.25">
      <c r="B18" s="114">
        <v>13</v>
      </c>
      <c r="C18" s="15" t="s">
        <v>863</v>
      </c>
      <c r="D18" s="65" t="s">
        <v>280</v>
      </c>
      <c r="E18" s="65" t="s">
        <v>71</v>
      </c>
      <c r="F18" s="65" t="s">
        <v>380</v>
      </c>
      <c r="G18" s="65" t="s">
        <v>77</v>
      </c>
      <c r="I18" s="31">
        <f>Scenarios!$D$112</f>
        <v>0.0</v>
      </c>
      <c r="J18" s="30">
        <f>Scenarios!$E$112</f>
        <v>0.0</v>
      </c>
      <c r="K18" s="30">
        <f>Scenarios!$F$112</f>
        <v>0.0</v>
      </c>
      <c r="L18" s="35">
        <f>Scenarios!$G$112</f>
        <v>0.0</v>
      </c>
      <c r="M18" s="31">
        <f>Scenarios!$H$112</f>
        <v>0.0</v>
      </c>
      <c r="N18" s="30">
        <f>Scenarios!$L$112</f>
        <v>0.0</v>
      </c>
      <c r="O18" s="29">
        <f>Scenarios!$M$112</f>
        <v>0.0</v>
      </c>
      <c r="P18" s="114">
        <f>RANK(I18,$I$6:$I$25)</f>
        <v>1.0</v>
      </c>
    </row>
    <row r="19" spans="2:16" x14ac:dyDescent="0.25">
      <c r="B19" s="114">
        <v>14</v>
      </c>
      <c r="C19" s="15" t="s">
        <v>864</v>
      </c>
      <c r="D19" s="65" t="s">
        <v>280</v>
      </c>
      <c r="E19" s="65" t="s">
        <v>71</v>
      </c>
      <c r="F19" s="65" t="s">
        <v>74</v>
      </c>
      <c r="G19" s="65" t="s">
        <v>77</v>
      </c>
      <c r="I19" s="31">
        <f>Scenarios!$D$113</f>
        <v>0.0</v>
      </c>
      <c r="J19" s="30">
        <f>Scenarios!$E$113</f>
        <v>0.0</v>
      </c>
      <c r="K19" s="30">
        <f>Scenarios!$F$113</f>
        <v>0.0</v>
      </c>
      <c r="L19" s="35">
        <f>Scenarios!$G$113</f>
        <v>0.0</v>
      </c>
      <c r="M19" s="31">
        <f>Scenarios!$H$113</f>
        <v>0.0</v>
      </c>
      <c r="N19" s="30">
        <f>Scenarios!$L$113</f>
        <v>0.0</v>
      </c>
      <c r="O19" s="29">
        <f>Scenarios!$M$113</f>
        <v>0.0</v>
      </c>
      <c r="P19" s="114">
        <f>RANK(I19,$I$6:$I$25)</f>
        <v>1.0</v>
      </c>
    </row>
    <row r="20" spans="2:16" x14ac:dyDescent="0.25">
      <c r="B20" s="114">
        <v>15</v>
      </c>
      <c r="C20" s="15" t="s">
        <v>865</v>
      </c>
      <c r="D20" s="65" t="s">
        <v>280</v>
      </c>
      <c r="E20" s="65" t="s">
        <v>71</v>
      </c>
      <c r="F20" s="65" t="s">
        <v>381</v>
      </c>
      <c r="G20" s="65" t="s">
        <v>77</v>
      </c>
      <c r="I20" s="31">
        <f>Scenarios!$D$114</f>
        <v>0.0</v>
      </c>
      <c r="J20" s="30">
        <f>Scenarios!$E$114</f>
        <v>0.0</v>
      </c>
      <c r="K20" s="30">
        <f>Scenarios!$F$114</f>
        <v>0.0</v>
      </c>
      <c r="L20" s="35">
        <f>Scenarios!$G$114</f>
        <v>0.0</v>
      </c>
      <c r="M20" s="31">
        <f>Scenarios!$H$114</f>
        <v>0.0</v>
      </c>
      <c r="N20" s="30">
        <f>Scenarios!$L$114</f>
        <v>0.0</v>
      </c>
      <c r="O20" s="29">
        <f>Scenarios!$M$114</f>
        <v>0.0</v>
      </c>
      <c r="P20" s="114">
        <f>RANK(I20,$I$6:$I$25)</f>
        <v>1.0</v>
      </c>
    </row>
    <row r="21" spans="2:16" x14ac:dyDescent="0.25">
      <c r="B21" s="114">
        <v>16</v>
      </c>
      <c r="C21" s="15" t="s">
        <v>866</v>
      </c>
      <c r="D21" s="65" t="s">
        <v>280</v>
      </c>
      <c r="E21" s="65" t="s">
        <v>274</v>
      </c>
      <c r="F21" s="65" t="s">
        <v>74</v>
      </c>
      <c r="G21" s="65" t="s">
        <v>77</v>
      </c>
      <c r="I21" s="31">
        <f>Scenarios!$D$115</f>
        <v>0.0</v>
      </c>
      <c r="J21" s="30">
        <f>Scenarios!$E$115</f>
        <v>0.0</v>
      </c>
      <c r="K21" s="30">
        <f>Scenarios!$F$115</f>
        <v>0.0</v>
      </c>
      <c r="L21" s="35">
        <f>Scenarios!$G$115</f>
        <v>0.0</v>
      </c>
      <c r="M21" s="31">
        <f>Scenarios!$H$115</f>
        <v>0.0</v>
      </c>
      <c r="N21" s="30">
        <f>Scenarios!$L$115</f>
        <v>0.0</v>
      </c>
      <c r="O21" s="29">
        <f>Scenarios!$M$115</f>
        <v>0.0</v>
      </c>
      <c r="P21" s="114">
        <f>RANK(I21,$I$6:$I$25)</f>
        <v>1.0</v>
      </c>
    </row>
    <row r="22" spans="2:16" x14ac:dyDescent="0.25">
      <c r="B22" s="114">
        <v>17</v>
      </c>
      <c r="C22" s="15" t="s">
        <v>867</v>
      </c>
      <c r="D22" s="65" t="s">
        <v>280</v>
      </c>
      <c r="E22" s="65" t="s">
        <v>71</v>
      </c>
      <c r="F22" s="65" t="s">
        <v>74</v>
      </c>
      <c r="G22" s="65" t="s">
        <v>350</v>
      </c>
      <c r="I22" s="31">
        <f>Scenarios!$D$116</f>
        <v>0.0</v>
      </c>
      <c r="J22" s="30">
        <f>Scenarios!$E$116</f>
        <v>0.0</v>
      </c>
      <c r="K22" s="30">
        <f>Scenarios!$F$116</f>
        <v>0.0</v>
      </c>
      <c r="L22" s="35">
        <f>Scenarios!$G$116</f>
        <v>0.0</v>
      </c>
      <c r="M22" s="31">
        <f>Scenarios!$H$116</f>
        <v>0.0</v>
      </c>
      <c r="N22" s="30">
        <f>Scenarios!$L$116</f>
        <v>0.0</v>
      </c>
      <c r="O22" s="29">
        <f>Scenarios!$M$116</f>
        <v>0.0</v>
      </c>
      <c r="P22" s="114">
        <f>RANK(I22,$I$6:$I$25)</f>
        <v>1.0</v>
      </c>
    </row>
    <row r="23" spans="2:16" x14ac:dyDescent="0.25">
      <c r="B23" s="114">
        <v>18</v>
      </c>
      <c r="C23" s="15" t="s">
        <v>868</v>
      </c>
      <c r="D23" s="65" t="s">
        <v>281</v>
      </c>
      <c r="E23" s="65" t="s">
        <v>71</v>
      </c>
      <c r="F23" s="65" t="s">
        <v>74</v>
      </c>
      <c r="G23" s="65" t="s">
        <v>77</v>
      </c>
      <c r="I23" s="31">
        <f>Scenarios!$D$117</f>
        <v>0.0</v>
      </c>
      <c r="J23" s="30">
        <f>Scenarios!$E$117</f>
        <v>0.0</v>
      </c>
      <c r="K23" s="30">
        <f>Scenarios!$F$117</f>
        <v>0.0</v>
      </c>
      <c r="L23" s="35">
        <f>Scenarios!$G$117</f>
        <v>0.0</v>
      </c>
      <c r="M23" s="31">
        <f>Scenarios!$H$117</f>
        <v>0.0</v>
      </c>
      <c r="N23" s="30">
        <f>Scenarios!$L$117</f>
        <v>0.0</v>
      </c>
      <c r="O23" s="29">
        <f>Scenarios!$M$117</f>
        <v>0.0</v>
      </c>
      <c r="P23" s="114">
        <f>RANK(I23,$I$6:$I$25)</f>
        <v>1.0</v>
      </c>
    </row>
    <row r="24" spans="2:16" x14ac:dyDescent="0.25">
      <c r="B24" s="114">
        <v>19</v>
      </c>
      <c r="C24" s="15" t="s">
        <v>869</v>
      </c>
      <c r="D24" s="65" t="s">
        <v>281</v>
      </c>
      <c r="E24" s="65" t="s">
        <v>71</v>
      </c>
      <c r="F24" s="65" t="s">
        <v>381</v>
      </c>
      <c r="G24" s="65" t="s">
        <v>77</v>
      </c>
      <c r="I24" s="31">
        <f>Scenarios!$D$118</f>
        <v>0.0</v>
      </c>
      <c r="J24" s="30">
        <f>Scenarios!$E$118</f>
        <v>0.0</v>
      </c>
      <c r="K24" s="30">
        <f>Scenarios!$F$118</f>
        <v>0.0</v>
      </c>
      <c r="L24" s="35">
        <f>Scenarios!$G$118</f>
        <v>0.0</v>
      </c>
      <c r="M24" s="31">
        <f>Scenarios!$H$118</f>
        <v>0.0</v>
      </c>
      <c r="N24" s="30">
        <f>Scenarios!$L$118</f>
        <v>0.0</v>
      </c>
      <c r="O24" s="29">
        <f>Scenarios!$M$118</f>
        <v>0.0</v>
      </c>
      <c r="P24" s="114">
        <f>RANK(I24,$I$6:$I$25)</f>
        <v>1.0</v>
      </c>
    </row>
    <row r="25" spans="2:16" x14ac:dyDescent="0.25">
      <c r="B25" s="114">
        <v>20</v>
      </c>
      <c r="C25" s="15" t="s">
        <v>870</v>
      </c>
      <c r="D25" s="65" t="s">
        <v>281</v>
      </c>
      <c r="E25" s="65" t="s">
        <v>274</v>
      </c>
      <c r="F25" s="65" t="s">
        <v>74</v>
      </c>
      <c r="G25" s="65" t="s">
        <v>77</v>
      </c>
      <c r="I25" s="31">
        <f>Scenarios!$D$119</f>
        <v>0.0</v>
      </c>
      <c r="J25" s="30">
        <f>Scenarios!$E$119</f>
        <v>0.0</v>
      </c>
      <c r="K25" s="30">
        <f>Scenarios!$F$119</f>
        <v>0.0</v>
      </c>
      <c r="L25" s="35">
        <f>Scenarios!$G$119</f>
        <v>0.0</v>
      </c>
      <c r="M25" s="31">
        <f>Scenarios!$H$119</f>
        <v>0.0</v>
      </c>
      <c r="N25" s="30">
        <f>Scenarios!$L$119</f>
        <v>0.0</v>
      </c>
      <c r="O25" s="29">
        <f>Scenarios!$M$119</f>
        <v>0.0</v>
      </c>
      <c r="P25" s="114">
        <f>RANK(I25,$I$6:$I$25)</f>
        <v>1.0</v>
      </c>
    </row>
    <row r="27" spans="2:16" x14ac:dyDescent="0.25">
      <c r="B27" s="2" t="s">
        <v>871</v>
      </c>
    </row>
  </sheetData>
  <conditionalFormatting sqref="I6:I25">
    <cfRule type="dataBar" priority="1">
      <dataBar>
        <cfvo type="min"/>
        <cfvo type="max"/>
        <color rgb="FFC68B59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K6:K25">
    <cfRule type="colorScale" priority="2">
      <colorScale>
        <cfvo type="min" val="0"/>
        <cfvo type="percentile" val="50"/>
        <cfvo type="max" val="0"/>
        <color rgb="FFF8D7DA"/>
        <color rgb="FFFFFFFF"/>
        <color rgb="FFD8F0DC"/>
      </colorScale>
    </cfRule>
  </conditionalFormatting>
  <dataValidations count="80">
    <dataValidation type="list" allowBlank="1" showInputMessage="1" showErrorMessage="1" sqref="D6">
      <formula1>LocList</formula1>
    </dataValidation>
    <dataValidation type="list" allowBlank="1" showInputMessage="1" showErrorMessage="1" sqref="E6">
      <formula1>PropList</formula1>
    </dataValidation>
    <dataValidation type="list" allowBlank="1" showInputMessage="1" showErrorMessage="1" sqref="F6">
      <formula1>RoastList</formula1>
    </dataValidation>
    <dataValidation type="list" allowBlank="1" showInputMessage="1" showErrorMessage="1" sqref="G6">
      <formula1>MixList</formula1>
    </dataValidation>
    <dataValidation type="list" allowBlank="1" showInputMessage="1" showErrorMessage="1" sqref="D7">
      <formula1>LocList</formula1>
    </dataValidation>
    <dataValidation type="list" allowBlank="1" showInputMessage="1" showErrorMessage="1" sqref="E7">
      <formula1>PropList</formula1>
    </dataValidation>
    <dataValidation type="list" allowBlank="1" showInputMessage="1" showErrorMessage="1" sqref="F7">
      <formula1>RoastList</formula1>
    </dataValidation>
    <dataValidation type="list" allowBlank="1" showInputMessage="1" showErrorMessage="1" sqref="G7">
      <formula1>MixList</formula1>
    </dataValidation>
    <dataValidation type="list" allowBlank="1" showInputMessage="1" showErrorMessage="1" sqref="D8">
      <formula1>LocList</formula1>
    </dataValidation>
    <dataValidation type="list" allowBlank="1" showInputMessage="1" showErrorMessage="1" sqref="E8">
      <formula1>PropList</formula1>
    </dataValidation>
    <dataValidation type="list" allowBlank="1" showInputMessage="1" showErrorMessage="1" sqref="F8">
      <formula1>RoastList</formula1>
    </dataValidation>
    <dataValidation type="list" allowBlank="1" showInputMessage="1" showErrorMessage="1" sqref="G8">
      <formula1>MixList</formula1>
    </dataValidation>
    <dataValidation type="list" allowBlank="1" showInputMessage="1" showErrorMessage="1" sqref="D9">
      <formula1>LocList</formula1>
    </dataValidation>
    <dataValidation type="list" allowBlank="1" showInputMessage="1" showErrorMessage="1" sqref="E9">
      <formula1>PropList</formula1>
    </dataValidation>
    <dataValidation type="list" allowBlank="1" showInputMessage="1" showErrorMessage="1" sqref="F9">
      <formula1>RoastList</formula1>
    </dataValidation>
    <dataValidation type="list" allowBlank="1" showInputMessage="1" showErrorMessage="1" sqref="G9">
      <formula1>MixList</formula1>
    </dataValidation>
    <dataValidation type="list" allowBlank="1" showInputMessage="1" showErrorMessage="1" sqref="D10">
      <formula1>LocList</formula1>
    </dataValidation>
    <dataValidation type="list" allowBlank="1" showInputMessage="1" showErrorMessage="1" sqref="E10">
      <formula1>PropList</formula1>
    </dataValidation>
    <dataValidation type="list" allowBlank="1" showInputMessage="1" showErrorMessage="1" sqref="F10">
      <formula1>RoastList</formula1>
    </dataValidation>
    <dataValidation type="list" allowBlank="1" showInputMessage="1" showErrorMessage="1" sqref="G10">
      <formula1>MixList</formula1>
    </dataValidation>
    <dataValidation type="list" allowBlank="1" showInputMessage="1" showErrorMessage="1" sqref="D11">
      <formula1>LocList</formula1>
    </dataValidation>
    <dataValidation type="list" allowBlank="1" showInputMessage="1" showErrorMessage="1" sqref="E11">
      <formula1>PropList</formula1>
    </dataValidation>
    <dataValidation type="list" allowBlank="1" showInputMessage="1" showErrorMessage="1" sqref="F11">
      <formula1>RoastList</formula1>
    </dataValidation>
    <dataValidation type="list" allowBlank="1" showInputMessage="1" showErrorMessage="1" sqref="G11">
      <formula1>MixList</formula1>
    </dataValidation>
    <dataValidation type="list" allowBlank="1" showInputMessage="1" showErrorMessage="1" sqref="D12">
      <formula1>LocList</formula1>
    </dataValidation>
    <dataValidation type="list" allowBlank="1" showInputMessage="1" showErrorMessage="1" sqref="E12">
      <formula1>PropList</formula1>
    </dataValidation>
    <dataValidation type="list" allowBlank="1" showInputMessage="1" showErrorMessage="1" sqref="F12">
      <formula1>RoastList</formula1>
    </dataValidation>
    <dataValidation type="list" allowBlank="1" showInputMessage="1" showErrorMessage="1" sqref="G12">
      <formula1>MixList</formula1>
    </dataValidation>
    <dataValidation type="list" allowBlank="1" showInputMessage="1" showErrorMessage="1" sqref="D13">
      <formula1>LocList</formula1>
    </dataValidation>
    <dataValidation type="list" allowBlank="1" showInputMessage="1" showErrorMessage="1" sqref="E13">
      <formula1>PropList</formula1>
    </dataValidation>
    <dataValidation type="list" allowBlank="1" showInputMessage="1" showErrorMessage="1" sqref="F13">
      <formula1>RoastList</formula1>
    </dataValidation>
    <dataValidation type="list" allowBlank="1" showInputMessage="1" showErrorMessage="1" sqref="G13">
      <formula1>MixList</formula1>
    </dataValidation>
    <dataValidation type="list" allowBlank="1" showInputMessage="1" showErrorMessage="1" sqref="D14">
      <formula1>LocList</formula1>
    </dataValidation>
    <dataValidation type="list" allowBlank="1" showInputMessage="1" showErrorMessage="1" sqref="E14">
      <formula1>PropList</formula1>
    </dataValidation>
    <dataValidation type="list" allowBlank="1" showInputMessage="1" showErrorMessage="1" sqref="F14">
      <formula1>RoastList</formula1>
    </dataValidation>
    <dataValidation type="list" allowBlank="1" showInputMessage="1" showErrorMessage="1" sqref="G14">
      <formula1>MixList</formula1>
    </dataValidation>
    <dataValidation type="list" allowBlank="1" showInputMessage="1" showErrorMessage="1" sqref="D15">
      <formula1>LocList</formula1>
    </dataValidation>
    <dataValidation type="list" allowBlank="1" showInputMessage="1" showErrorMessage="1" sqref="E15">
      <formula1>PropList</formula1>
    </dataValidation>
    <dataValidation type="list" allowBlank="1" showInputMessage="1" showErrorMessage="1" sqref="F15">
      <formula1>RoastList</formula1>
    </dataValidation>
    <dataValidation type="list" allowBlank="1" showInputMessage="1" showErrorMessage="1" sqref="G15">
      <formula1>MixList</formula1>
    </dataValidation>
    <dataValidation type="list" allowBlank="1" showInputMessage="1" showErrorMessage="1" sqref="D16">
      <formula1>LocList</formula1>
    </dataValidation>
    <dataValidation type="list" allowBlank="1" showInputMessage="1" showErrorMessage="1" sqref="E16">
      <formula1>PropList</formula1>
    </dataValidation>
    <dataValidation type="list" allowBlank="1" showInputMessage="1" showErrorMessage="1" sqref="F16">
      <formula1>RoastList</formula1>
    </dataValidation>
    <dataValidation type="list" allowBlank="1" showInputMessage="1" showErrorMessage="1" sqref="G16">
      <formula1>MixList</formula1>
    </dataValidation>
    <dataValidation type="list" allowBlank="1" showInputMessage="1" showErrorMessage="1" sqref="D17">
      <formula1>LocList</formula1>
    </dataValidation>
    <dataValidation type="list" allowBlank="1" showInputMessage="1" showErrorMessage="1" sqref="E17">
      <formula1>PropList</formula1>
    </dataValidation>
    <dataValidation type="list" allowBlank="1" showInputMessage="1" showErrorMessage="1" sqref="F17">
      <formula1>RoastList</formula1>
    </dataValidation>
    <dataValidation type="list" allowBlank="1" showInputMessage="1" showErrorMessage="1" sqref="G17">
      <formula1>MixList</formula1>
    </dataValidation>
    <dataValidation type="list" allowBlank="1" showInputMessage="1" showErrorMessage="1" sqref="D18">
      <formula1>LocList</formula1>
    </dataValidation>
    <dataValidation type="list" allowBlank="1" showInputMessage="1" showErrorMessage="1" sqref="E18">
      <formula1>PropList</formula1>
    </dataValidation>
    <dataValidation type="list" allowBlank="1" showInputMessage="1" showErrorMessage="1" sqref="F18">
      <formula1>RoastList</formula1>
    </dataValidation>
    <dataValidation type="list" allowBlank="1" showInputMessage="1" showErrorMessage="1" sqref="G18">
      <formula1>MixList</formula1>
    </dataValidation>
    <dataValidation type="list" allowBlank="1" showInputMessage="1" showErrorMessage="1" sqref="D19">
      <formula1>LocList</formula1>
    </dataValidation>
    <dataValidation type="list" allowBlank="1" showInputMessage="1" showErrorMessage="1" sqref="E19">
      <formula1>PropList</formula1>
    </dataValidation>
    <dataValidation type="list" allowBlank="1" showInputMessage="1" showErrorMessage="1" sqref="F19">
      <formula1>RoastList</formula1>
    </dataValidation>
    <dataValidation type="list" allowBlank="1" showInputMessage="1" showErrorMessage="1" sqref="G19">
      <formula1>MixList</formula1>
    </dataValidation>
    <dataValidation type="list" allowBlank="1" showInputMessage="1" showErrorMessage="1" sqref="D20">
      <formula1>LocList</formula1>
    </dataValidation>
    <dataValidation type="list" allowBlank="1" showInputMessage="1" showErrorMessage="1" sqref="E20">
      <formula1>PropList</formula1>
    </dataValidation>
    <dataValidation type="list" allowBlank="1" showInputMessage="1" showErrorMessage="1" sqref="F20">
      <formula1>RoastList</formula1>
    </dataValidation>
    <dataValidation type="list" allowBlank="1" showInputMessage="1" showErrorMessage="1" sqref="G20">
      <formula1>MixList</formula1>
    </dataValidation>
    <dataValidation type="list" allowBlank="1" showInputMessage="1" showErrorMessage="1" sqref="D21">
      <formula1>LocList</formula1>
    </dataValidation>
    <dataValidation type="list" allowBlank="1" showInputMessage="1" showErrorMessage="1" sqref="E21">
      <formula1>PropList</formula1>
    </dataValidation>
    <dataValidation type="list" allowBlank="1" showInputMessage="1" showErrorMessage="1" sqref="F21">
      <formula1>RoastList</formula1>
    </dataValidation>
    <dataValidation type="list" allowBlank="1" showInputMessage="1" showErrorMessage="1" sqref="G21">
      <formula1>MixList</formula1>
    </dataValidation>
    <dataValidation type="list" allowBlank="1" showInputMessage="1" showErrorMessage="1" sqref="D22">
      <formula1>LocList</formula1>
    </dataValidation>
    <dataValidation type="list" allowBlank="1" showInputMessage="1" showErrorMessage="1" sqref="E22">
      <formula1>PropList</formula1>
    </dataValidation>
    <dataValidation type="list" allowBlank="1" showInputMessage="1" showErrorMessage="1" sqref="F22">
      <formula1>RoastList</formula1>
    </dataValidation>
    <dataValidation type="list" allowBlank="1" showInputMessage="1" showErrorMessage="1" sqref="G22">
      <formula1>MixList</formula1>
    </dataValidation>
    <dataValidation type="list" allowBlank="1" showInputMessage="1" showErrorMessage="1" sqref="D23">
      <formula1>LocList</formula1>
    </dataValidation>
    <dataValidation type="list" allowBlank="1" showInputMessage="1" showErrorMessage="1" sqref="E23">
      <formula1>PropList</formula1>
    </dataValidation>
    <dataValidation type="list" allowBlank="1" showInputMessage="1" showErrorMessage="1" sqref="F23">
      <formula1>RoastList</formula1>
    </dataValidation>
    <dataValidation type="list" allowBlank="1" showInputMessage="1" showErrorMessage="1" sqref="G23">
      <formula1>MixList</formula1>
    </dataValidation>
    <dataValidation type="list" allowBlank="1" showInputMessage="1" showErrorMessage="1" sqref="D24">
      <formula1>LocList</formula1>
    </dataValidation>
    <dataValidation type="list" allowBlank="1" showInputMessage="1" showErrorMessage="1" sqref="E24">
      <formula1>PropList</formula1>
    </dataValidation>
    <dataValidation type="list" allowBlank="1" showInputMessage="1" showErrorMessage="1" sqref="F24">
      <formula1>RoastList</formula1>
    </dataValidation>
    <dataValidation type="list" allowBlank="1" showInputMessage="1" showErrorMessage="1" sqref="G24">
      <formula1>MixList</formula1>
    </dataValidation>
    <dataValidation type="list" allowBlank="1" showInputMessage="1" showErrorMessage="1" sqref="D25">
      <formula1>LocList</formula1>
    </dataValidation>
    <dataValidation type="list" allowBlank="1" showInputMessage="1" showErrorMessage="1" sqref="E25">
      <formula1>PropList</formula1>
    </dataValidation>
    <dataValidation type="list" allowBlank="1" showInputMessage="1" showErrorMessage="1" sqref="F25">
      <formula1>RoastList</formula1>
    </dataValidation>
    <dataValidation type="list" allowBlank="1" showInputMessage="1" showErrorMessage="1" sqref="G25">
      <formula1>MixList</formula1>
    </dataValidation>
  </dataValidations>
  <pageMargins left="0.7" right="0.7" top="0.75" bottom="0.75" header="0.3" footer="0.3"/>
  <pageSetup paperSize="9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border="1" gradient="0" negativeBarBorderColorSameAsPositive="0">
              <x14:cfvo type="autoMin"/>
              <x14:cfvo type="autoMax"/>
              <x14:borderColor rgb="FFC68B59"/>
              <x14:negativeFillColor rgb="FFFF0000"/>
              <x14:negativeBorderColor rgb="FFFF0000"/>
              <x14:axisColor rgb="FF000000"/>
            </x14:dataBar>
          </x14:cfRule>
          <xm:sqref>I6:I25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D21"/>
  <sheetViews>
    <sheetView showGridLines="0" zoomScale="90" zoomScaleNormal="90" workbookViewId="0"/>
  </sheetViews>
  <sheetFormatPr defaultRowHeight="15"/>
  <cols>
    <col min="1" max="1" width="2.7109375" customWidth="1"/>
    <col min="2" max="2" width="28.7109375" customWidth="1"/>
    <col min="3" max="3" width="95.7109375" customWidth="1"/>
    <col min="4" max="4" width="45.7109375" customWidth="1"/>
  </cols>
  <sheetData>
    <row r="1" spans="2:4" ht="24" customHeight="1">
      <c r="B1" s="19" t="s">
        <v>21</v>
      </c>
    </row>
    <row r="2" spans="2:4">
      <c r="B2" s="2" t="s">
        <v>908</v>
      </c>
    </row>
    <row r="3" spans="2:4">
      <c r="B3" s="3" t="str">
        <f>"Model running: "&amp;Inputs!$D$23</f>
        <v>Model running: Prahladnagar | Rent | Toll roasting | Specialty mix | Base case</v>
      </c>
    </row>
    <row r="5" spans="2:4">
      <c r="B5" s="26" t="s">
        <v>909</v>
      </c>
      <c r="C5" s="26" t="s">
        <v>910</v>
      </c>
      <c r="D5" s="26" t="s">
        <v>911</v>
      </c>
    </row>
    <row r="6" spans="2:4" ht="30" customHeight="1">
      <c r="B6" s="16" t="s">
        <v>912</v>
      </c>
      <c r="C6" s="124" t="s">
        <v>913</v>
      </c>
      <c r="D6" s="6" t="s">
        <v>914</v>
      </c>
    </row>
    <row r="7" spans="2:4" ht="30" customHeight="1">
      <c r="B7" s="16" t="s">
        <v>915</v>
      </c>
      <c r="C7" s="124" t="s">
        <v>916</v>
      </c>
      <c r="D7" s="6" t="s">
        <v>914</v>
      </c>
    </row>
    <row r="8" spans="2:4" ht="30" customHeight="1">
      <c r="B8" s="16" t="s">
        <v>917</v>
      </c>
      <c r="C8" s="124" t="s">
        <v>918</v>
      </c>
      <c r="D8" s="6" t="s">
        <v>919</v>
      </c>
    </row>
    <row r="9" spans="2:4" ht="30" customHeight="1">
      <c r="B9" s="16" t="s">
        <v>280</v>
      </c>
      <c r="C9" s="124" t="s">
        <v>920</v>
      </c>
      <c r="D9" s="6" t="s">
        <v>921</v>
      </c>
    </row>
    <row r="10" spans="2:4" ht="30" customHeight="1">
      <c r="B10" s="16" t="s">
        <v>281</v>
      </c>
      <c r="C10" s="124" t="s">
        <v>922</v>
      </c>
      <c r="D10" s="6" t="s">
        <v>923</v>
      </c>
    </row>
    <row r="11" spans="2:4" ht="30" customHeight="1">
      <c r="B11" s="16" t="s">
        <v>924</v>
      </c>
      <c r="C11" s="124" t="s">
        <v>925</v>
      </c>
      <c r="D11" s="6" t="s">
        <v>926</v>
      </c>
    </row>
    <row r="12" spans="2:4" ht="30" customHeight="1">
      <c r="B12" s="16" t="s">
        <v>927</v>
      </c>
      <c r="C12" s="124" t="s">
        <v>928</v>
      </c>
      <c r="D12" s="6" t="s">
        <v>929</v>
      </c>
    </row>
    <row r="13" spans="2:4" ht="30" customHeight="1">
      <c r="B13" s="16" t="s">
        <v>567</v>
      </c>
      <c r="C13" s="124" t="s">
        <v>930</v>
      </c>
      <c r="D13" s="6" t="s">
        <v>931</v>
      </c>
    </row>
    <row r="14" spans="2:4" ht="30" customHeight="1">
      <c r="B14" s="16" t="s">
        <v>932</v>
      </c>
      <c r="C14" s="124" t="s">
        <v>933</v>
      </c>
      <c r="D14" s="6" t="s">
        <v>934</v>
      </c>
    </row>
    <row r="15" spans="2:4" ht="30" customHeight="1">
      <c r="B15" s="16" t="s">
        <v>935</v>
      </c>
      <c r="C15" s="124" t="s">
        <v>936</v>
      </c>
      <c r="D15" s="6" t="s">
        <v>937</v>
      </c>
    </row>
    <row r="16" spans="2:4" ht="30" customHeight="1">
      <c r="B16" s="16" t="s">
        <v>646</v>
      </c>
      <c r="C16" s="124" t="s">
        <v>938</v>
      </c>
      <c r="D16" s="6" t="s">
        <v>939</v>
      </c>
    </row>
    <row r="17" spans="2:4" ht="30" customHeight="1">
      <c r="B17" s="16" t="s">
        <v>940</v>
      </c>
      <c r="C17" s="124" t="s">
        <v>941</v>
      </c>
      <c r="D17" s="6" t="s">
        <v>942</v>
      </c>
    </row>
    <row r="18" spans="2:4" ht="30" customHeight="1">
      <c r="B18" s="16" t="s">
        <v>943</v>
      </c>
      <c r="C18" s="124" t="s">
        <v>944</v>
      </c>
      <c r="D18" s="6" t="s">
        <v>945</v>
      </c>
    </row>
    <row r="19" spans="2:4" ht="30" customHeight="1">
      <c r="B19" s="16" t="s">
        <v>946</v>
      </c>
      <c r="C19" s="124" t="s">
        <v>947</v>
      </c>
    </row>
    <row r="20" spans="2:4" ht="30" customHeight="1">
      <c r="B20" s="16" t="s">
        <v>948</v>
      </c>
      <c r="C20" s="124" t="s">
        <v>949</v>
      </c>
      <c r="D20" s="6" t="s">
        <v>950</v>
      </c>
    </row>
    <row r="21" spans="2:4" ht="30" customHeight="1">
      <c r="B21" s="16" t="s">
        <v>49</v>
      </c>
      <c r="C21" s="124" t="s">
        <v>951</v>
      </c>
      <c r="D21" s="6" t="s">
        <v>952</v>
      </c>
    </row>
  </sheetData>
  <hyperlinks>
    <hyperlink ref="D6" r:id="rId1"/>
    <hyperlink ref="D7" r:id="rId2"/>
    <hyperlink ref="D8" r:id="rId3"/>
    <hyperlink ref="D9" r:id="rId4"/>
    <hyperlink ref="D10" r:id="rId5"/>
    <hyperlink ref="D11" r:id="rId6"/>
    <hyperlink ref="D12" r:id="rId7"/>
    <hyperlink ref="D13" r:id="rId8"/>
    <hyperlink ref="D14" r:id="rId9"/>
    <hyperlink ref="D15" r:id="rId10"/>
    <hyperlink ref="D16" r:id="rId11"/>
    <hyperlink ref="D17" r:id="rId12"/>
    <hyperlink ref="D18" r:id="rId13"/>
    <hyperlink ref="D20" r:id="rId14"/>
    <hyperlink ref="D21" r:id="rId15"/>
  </hyperlink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14</vt:i4>
      </vt:variant>
    </vt:vector>
  </HeadingPairs>
  <TitlesOfParts>
    <vt:vector size="25" baseType="lpstr">
      <vt:lpstr>Cover</vt:lpstr>
      <vt:lpstr>Dashboard</vt:lpstr>
      <vt:lpstr>Inputs</vt:lpstr>
      <vt:lpstr>Locations</vt:lpstr>
      <vt:lpstr>Sourcing</vt:lpstr>
      <vt:lpstr>Capex</vt:lpstr>
      <vt:lpstr>Model</vt:lpstr>
      <vt:lpstr>DCF</vt:lpstr>
      <vt:lpstr>Scenarios</vt:lpstr>
      <vt:lpstr>Configs</vt:lpstr>
      <vt:lpstr>Sources</vt:lpstr>
      <vt:lpstr>CfgLoc</vt:lpstr>
      <vt:lpstr>CfgMix</vt:lpstr>
      <vt:lpstr>CfgName</vt:lpstr>
      <vt:lpstr>CfgProp</vt:lpstr>
      <vt:lpstr>CfgRoast</vt:lpstr>
      <vt:lpstr>Circ</vt:lpstr>
      <vt:lpstr>Lakh</vt:lpstr>
      <vt:lpstr>LocList</vt:lpstr>
      <vt:lpstr>MixCheck</vt:lpstr>
      <vt:lpstr>MixList</vt:lpstr>
      <vt:lpstr>PropList</vt:lpstr>
      <vt:lpstr>RoastList</vt:lpstr>
      <vt:lpstr>ScnList</vt:lpstr>
      <vt:lpstr>TaxRate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2026-10-10T08:26:46Z</dcterms:created>
  <dcterms:modified xsi:type="dcterms:W3CDTF">2026-10-10T08:26:46Z</dcterms:modified>
</cp:coreProperties>
</file>